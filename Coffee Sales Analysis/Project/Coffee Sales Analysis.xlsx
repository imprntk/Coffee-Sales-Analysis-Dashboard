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839953aec4ebdd1b/Desktop/"/>
    </mc:Choice>
  </mc:AlternateContent>
  <xr:revisionPtr revIDLastSave="20" documentId="8_{5FF735CE-8D80-4BF2-A7A4-7B1D488CAE67}" xr6:coauthVersionLast="47" xr6:coauthVersionMax="47" xr10:uidLastSave="{60A9B6CF-C706-41FB-97DB-19AFE7A7AF86}"/>
  <bookViews>
    <workbookView minimized="1" xWindow="6108" yWindow="1584" windowWidth="17280" windowHeight="8880" firstSheet="2" activeTab="6" xr2:uid="{00000000-000D-0000-FFFF-FFFF00000000}"/>
  </bookViews>
  <sheets>
    <sheet name="Orders" sheetId="17" r:id="rId1"/>
    <sheet name="Customers" sheetId="13" r:id="rId2"/>
    <sheet name="Products" sheetId="2" r:id="rId3"/>
    <sheet name="Pivot Tables" sheetId="18" r:id="rId4"/>
    <sheet name="Country Bar chart" sheetId="20" r:id="rId5"/>
    <sheet name="Top 5 customer" sheetId="22" r:id="rId6"/>
    <sheet name="DashBoard" sheetId="19"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3">#N/A</definedName>
    <definedName name="Slicer_Size">#N/A</definedName>
  </definedNames>
  <calcPr calcId="191028"/>
  <pivotCaches>
    <pivotCache cacheId="78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002" i="17"/>
  <c r="P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I3" i="17"/>
  <c r="N3" i="17" s="1"/>
  <c r="J3" i="17"/>
  <c r="O3" i="17" s="1"/>
  <c r="I4" i="17"/>
  <c r="N4" i="17" s="1"/>
  <c r="J4" i="17"/>
  <c r="O4" i="17" s="1"/>
  <c r="I5" i="17"/>
  <c r="N5" i="17" s="1"/>
  <c r="J5" i="17"/>
  <c r="O5" i="17" s="1"/>
  <c r="I6" i="17"/>
  <c r="N6" i="17" s="1"/>
  <c r="J6" i="17"/>
  <c r="O6" i="17" s="1"/>
  <c r="I7" i="17"/>
  <c r="N7" i="17" s="1"/>
  <c r="J7" i="17"/>
  <c r="O7" i="17" s="1"/>
  <c r="I8" i="17"/>
  <c r="N8" i="17" s="1"/>
  <c r="J8" i="17"/>
  <c r="O8" i="17" s="1"/>
  <c r="I9" i="17"/>
  <c r="N9" i="17" s="1"/>
  <c r="J9" i="17"/>
  <c r="O9" i="17" s="1"/>
  <c r="I10" i="17"/>
  <c r="N10" i="17" s="1"/>
  <c r="J10" i="17"/>
  <c r="O10" i="17" s="1"/>
  <c r="I11" i="17"/>
  <c r="N11" i="17" s="1"/>
  <c r="J11" i="17"/>
  <c r="O11" i="17" s="1"/>
  <c r="I12" i="17"/>
  <c r="N12" i="17" s="1"/>
  <c r="J12" i="17"/>
  <c r="O12" i="17" s="1"/>
  <c r="I13" i="17"/>
  <c r="N13" i="17" s="1"/>
  <c r="J13" i="17"/>
  <c r="O13" i="17" s="1"/>
  <c r="I14" i="17"/>
  <c r="N14" i="17" s="1"/>
  <c r="J14" i="17"/>
  <c r="O14" i="17" s="1"/>
  <c r="I15" i="17"/>
  <c r="N15" i="17" s="1"/>
  <c r="J15" i="17"/>
  <c r="O15" i="17" s="1"/>
  <c r="I16" i="17"/>
  <c r="N16" i="17" s="1"/>
  <c r="J16" i="17"/>
  <c r="O16" i="17" s="1"/>
  <c r="I17" i="17"/>
  <c r="N17" i="17" s="1"/>
  <c r="J17" i="17"/>
  <c r="O17" i="17" s="1"/>
  <c r="I18" i="17"/>
  <c r="N18" i="17" s="1"/>
  <c r="J18" i="17"/>
  <c r="O18" i="17" s="1"/>
  <c r="I19" i="17"/>
  <c r="N19" i="17" s="1"/>
  <c r="J19" i="17"/>
  <c r="O19" i="17" s="1"/>
  <c r="I20" i="17"/>
  <c r="N20" i="17" s="1"/>
  <c r="J20" i="17"/>
  <c r="O20" i="17" s="1"/>
  <c r="I21" i="17"/>
  <c r="N21" i="17" s="1"/>
  <c r="J21" i="17"/>
  <c r="O21" i="17" s="1"/>
  <c r="I22" i="17"/>
  <c r="N22" i="17" s="1"/>
  <c r="J22" i="17"/>
  <c r="O22" i="17" s="1"/>
  <c r="I23" i="17"/>
  <c r="N23" i="17" s="1"/>
  <c r="J23" i="17"/>
  <c r="O23" i="17" s="1"/>
  <c r="I24" i="17"/>
  <c r="N24" i="17" s="1"/>
  <c r="J24" i="17"/>
  <c r="O24" i="17" s="1"/>
  <c r="I25" i="17"/>
  <c r="N25" i="17" s="1"/>
  <c r="J25" i="17"/>
  <c r="O25" i="17" s="1"/>
  <c r="I26" i="17"/>
  <c r="N26" i="17" s="1"/>
  <c r="J26" i="17"/>
  <c r="O26" i="17" s="1"/>
  <c r="I27" i="17"/>
  <c r="N27" i="17" s="1"/>
  <c r="J27" i="17"/>
  <c r="O27" i="17" s="1"/>
  <c r="I28" i="17"/>
  <c r="N28" i="17" s="1"/>
  <c r="J28" i="17"/>
  <c r="O28" i="17" s="1"/>
  <c r="I29" i="17"/>
  <c r="N29" i="17" s="1"/>
  <c r="J29" i="17"/>
  <c r="O29" i="17" s="1"/>
  <c r="I30" i="17"/>
  <c r="N30" i="17" s="1"/>
  <c r="J30" i="17"/>
  <c r="O30" i="17" s="1"/>
  <c r="I31" i="17"/>
  <c r="N31" i="17" s="1"/>
  <c r="J31" i="17"/>
  <c r="O31" i="17" s="1"/>
  <c r="I32" i="17"/>
  <c r="N32" i="17" s="1"/>
  <c r="J32" i="17"/>
  <c r="O32" i="17" s="1"/>
  <c r="I33" i="17"/>
  <c r="N33" i="17" s="1"/>
  <c r="J33" i="17"/>
  <c r="O33" i="17" s="1"/>
  <c r="I34" i="17"/>
  <c r="N34" i="17" s="1"/>
  <c r="J34" i="17"/>
  <c r="O34" i="17" s="1"/>
  <c r="I35" i="17"/>
  <c r="N35" i="17" s="1"/>
  <c r="J35" i="17"/>
  <c r="O35" i="17" s="1"/>
  <c r="I36" i="17"/>
  <c r="N36" i="17" s="1"/>
  <c r="J36" i="17"/>
  <c r="O36" i="17" s="1"/>
  <c r="I37" i="17"/>
  <c r="N37" i="17" s="1"/>
  <c r="J37" i="17"/>
  <c r="O37" i="17" s="1"/>
  <c r="I38" i="17"/>
  <c r="N38" i="17" s="1"/>
  <c r="J38" i="17"/>
  <c r="O38" i="17" s="1"/>
  <c r="I39" i="17"/>
  <c r="N39" i="17" s="1"/>
  <c r="J39" i="17"/>
  <c r="O39" i="17" s="1"/>
  <c r="I40" i="17"/>
  <c r="N40" i="17" s="1"/>
  <c r="J40" i="17"/>
  <c r="O40" i="17" s="1"/>
  <c r="I41" i="17"/>
  <c r="N41" i="17" s="1"/>
  <c r="J41" i="17"/>
  <c r="O41" i="17" s="1"/>
  <c r="I42" i="17"/>
  <c r="N42" i="17" s="1"/>
  <c r="J42" i="17"/>
  <c r="O42" i="17" s="1"/>
  <c r="I43" i="17"/>
  <c r="N43" i="17" s="1"/>
  <c r="J43" i="17"/>
  <c r="O43" i="17" s="1"/>
  <c r="I44" i="17"/>
  <c r="N44" i="17" s="1"/>
  <c r="J44" i="17"/>
  <c r="O44" i="17" s="1"/>
  <c r="I45" i="17"/>
  <c r="N45" i="17" s="1"/>
  <c r="J45" i="17"/>
  <c r="O45" i="17" s="1"/>
  <c r="I46" i="17"/>
  <c r="N46" i="17" s="1"/>
  <c r="J46" i="17"/>
  <c r="O46" i="17" s="1"/>
  <c r="I47" i="17"/>
  <c r="N47" i="17" s="1"/>
  <c r="J47" i="17"/>
  <c r="O47" i="17" s="1"/>
  <c r="I48" i="17"/>
  <c r="N48" i="17" s="1"/>
  <c r="J48" i="17"/>
  <c r="O48" i="17" s="1"/>
  <c r="I49" i="17"/>
  <c r="N49" i="17" s="1"/>
  <c r="J49" i="17"/>
  <c r="O49" i="17" s="1"/>
  <c r="I50" i="17"/>
  <c r="N50" i="17" s="1"/>
  <c r="J50" i="17"/>
  <c r="O50" i="17" s="1"/>
  <c r="I51" i="17"/>
  <c r="N51" i="17" s="1"/>
  <c r="J51" i="17"/>
  <c r="O51" i="17" s="1"/>
  <c r="I52" i="17"/>
  <c r="N52" i="17" s="1"/>
  <c r="J52" i="17"/>
  <c r="O52" i="17" s="1"/>
  <c r="I53" i="17"/>
  <c r="N53" i="17" s="1"/>
  <c r="J53" i="17"/>
  <c r="O53" i="17" s="1"/>
  <c r="I54" i="17"/>
  <c r="N54" i="17" s="1"/>
  <c r="J54" i="17"/>
  <c r="O54" i="17" s="1"/>
  <c r="I55" i="17"/>
  <c r="N55" i="17" s="1"/>
  <c r="J55" i="17"/>
  <c r="O55" i="17" s="1"/>
  <c r="I56" i="17"/>
  <c r="N56" i="17" s="1"/>
  <c r="J56" i="17"/>
  <c r="O56" i="17" s="1"/>
  <c r="I57" i="17"/>
  <c r="N57" i="17" s="1"/>
  <c r="J57" i="17"/>
  <c r="O57" i="17" s="1"/>
  <c r="I58" i="17"/>
  <c r="N58" i="17" s="1"/>
  <c r="J58" i="17"/>
  <c r="O58" i="17" s="1"/>
  <c r="I59" i="17"/>
  <c r="N59" i="17" s="1"/>
  <c r="J59" i="17"/>
  <c r="O59" i="17" s="1"/>
  <c r="I60" i="17"/>
  <c r="N60" i="17" s="1"/>
  <c r="J60" i="17"/>
  <c r="O60" i="17" s="1"/>
  <c r="I61" i="17"/>
  <c r="N61" i="17" s="1"/>
  <c r="J61" i="17"/>
  <c r="O61" i="17" s="1"/>
  <c r="I62" i="17"/>
  <c r="N62" i="17" s="1"/>
  <c r="J62" i="17"/>
  <c r="O62" i="17" s="1"/>
  <c r="I63" i="17"/>
  <c r="N63" i="17" s="1"/>
  <c r="J63" i="17"/>
  <c r="O63" i="17" s="1"/>
  <c r="I64" i="17"/>
  <c r="N64" i="17" s="1"/>
  <c r="J64" i="17"/>
  <c r="O64" i="17" s="1"/>
  <c r="I65" i="17"/>
  <c r="N65" i="17" s="1"/>
  <c r="J65" i="17"/>
  <c r="O65" i="17" s="1"/>
  <c r="I66" i="17"/>
  <c r="N66" i="17" s="1"/>
  <c r="J66" i="17"/>
  <c r="O66" i="17" s="1"/>
  <c r="I67" i="17"/>
  <c r="N67" i="17" s="1"/>
  <c r="J67" i="17"/>
  <c r="O67" i="17" s="1"/>
  <c r="I68" i="17"/>
  <c r="N68" i="17" s="1"/>
  <c r="J68" i="17"/>
  <c r="O68" i="17" s="1"/>
  <c r="I69" i="17"/>
  <c r="N69" i="17" s="1"/>
  <c r="J69" i="17"/>
  <c r="O69" i="17" s="1"/>
  <c r="I70" i="17"/>
  <c r="N70" i="17" s="1"/>
  <c r="J70" i="17"/>
  <c r="O70" i="17" s="1"/>
  <c r="I71" i="17"/>
  <c r="N71" i="17" s="1"/>
  <c r="J71" i="17"/>
  <c r="O71" i="17" s="1"/>
  <c r="I72" i="17"/>
  <c r="N72" i="17" s="1"/>
  <c r="J72" i="17"/>
  <c r="O72" i="17" s="1"/>
  <c r="I73" i="17"/>
  <c r="N73" i="17" s="1"/>
  <c r="J73" i="17"/>
  <c r="O73" i="17" s="1"/>
  <c r="I74" i="17"/>
  <c r="N74" i="17" s="1"/>
  <c r="J74" i="17"/>
  <c r="O74" i="17" s="1"/>
  <c r="I75" i="17"/>
  <c r="N75" i="17" s="1"/>
  <c r="J75" i="17"/>
  <c r="O75" i="17" s="1"/>
  <c r="I76" i="17"/>
  <c r="N76" i="17" s="1"/>
  <c r="J76" i="17"/>
  <c r="O76" i="17" s="1"/>
  <c r="I77" i="17"/>
  <c r="N77" i="17" s="1"/>
  <c r="J77" i="17"/>
  <c r="O77" i="17" s="1"/>
  <c r="I78" i="17"/>
  <c r="N78" i="17" s="1"/>
  <c r="J78" i="17"/>
  <c r="O78" i="17" s="1"/>
  <c r="I79" i="17"/>
  <c r="N79" i="17" s="1"/>
  <c r="J79" i="17"/>
  <c r="O79" i="17" s="1"/>
  <c r="I80" i="17"/>
  <c r="N80" i="17" s="1"/>
  <c r="J80" i="17"/>
  <c r="O80" i="17" s="1"/>
  <c r="I81" i="17"/>
  <c r="N81" i="17" s="1"/>
  <c r="J81" i="17"/>
  <c r="O81" i="17" s="1"/>
  <c r="I82" i="17"/>
  <c r="N82" i="17" s="1"/>
  <c r="J82" i="17"/>
  <c r="O82" i="17" s="1"/>
  <c r="I83" i="17"/>
  <c r="N83" i="17" s="1"/>
  <c r="J83" i="17"/>
  <c r="O83" i="17" s="1"/>
  <c r="I84" i="17"/>
  <c r="N84" i="17" s="1"/>
  <c r="J84" i="17"/>
  <c r="O84" i="17" s="1"/>
  <c r="I85" i="17"/>
  <c r="N85" i="17" s="1"/>
  <c r="J85" i="17"/>
  <c r="O85" i="17" s="1"/>
  <c r="I86" i="17"/>
  <c r="N86" i="17" s="1"/>
  <c r="J86" i="17"/>
  <c r="O86" i="17" s="1"/>
  <c r="I87" i="17"/>
  <c r="N87" i="17" s="1"/>
  <c r="J87" i="17"/>
  <c r="O87" i="17" s="1"/>
  <c r="I88" i="17"/>
  <c r="N88" i="17" s="1"/>
  <c r="J88" i="17"/>
  <c r="O88" i="17" s="1"/>
  <c r="I89" i="17"/>
  <c r="N89" i="17" s="1"/>
  <c r="J89" i="17"/>
  <c r="O89" i="17" s="1"/>
  <c r="I90" i="17"/>
  <c r="N90" i="17" s="1"/>
  <c r="J90" i="17"/>
  <c r="O90" i="17" s="1"/>
  <c r="I91" i="17"/>
  <c r="N91" i="17" s="1"/>
  <c r="J91" i="17"/>
  <c r="O91" i="17" s="1"/>
  <c r="I92" i="17"/>
  <c r="N92" i="17" s="1"/>
  <c r="J92" i="17"/>
  <c r="O92" i="17" s="1"/>
  <c r="I93" i="17"/>
  <c r="N93" i="17" s="1"/>
  <c r="J93" i="17"/>
  <c r="O93" i="17" s="1"/>
  <c r="I94" i="17"/>
  <c r="N94" i="17" s="1"/>
  <c r="J94" i="17"/>
  <c r="O94" i="17" s="1"/>
  <c r="I95" i="17"/>
  <c r="N95" i="17" s="1"/>
  <c r="J95" i="17"/>
  <c r="O95" i="17" s="1"/>
  <c r="I96" i="17"/>
  <c r="N96" i="17" s="1"/>
  <c r="J96" i="17"/>
  <c r="O96" i="17" s="1"/>
  <c r="I97" i="17"/>
  <c r="N97" i="17" s="1"/>
  <c r="J97" i="17"/>
  <c r="O97" i="17" s="1"/>
  <c r="I98" i="17"/>
  <c r="N98" i="17" s="1"/>
  <c r="J98" i="17"/>
  <c r="O98" i="17" s="1"/>
  <c r="I99" i="17"/>
  <c r="N99" i="17" s="1"/>
  <c r="J99" i="17"/>
  <c r="O99" i="17" s="1"/>
  <c r="I100" i="17"/>
  <c r="N100" i="17" s="1"/>
  <c r="J100" i="17"/>
  <c r="O100" i="17" s="1"/>
  <c r="I101" i="17"/>
  <c r="N101" i="17" s="1"/>
  <c r="J101" i="17"/>
  <c r="O101" i="17" s="1"/>
  <c r="I102" i="17"/>
  <c r="N102" i="17" s="1"/>
  <c r="J102" i="17"/>
  <c r="O102" i="17" s="1"/>
  <c r="I103" i="17"/>
  <c r="N103" i="17" s="1"/>
  <c r="J103" i="17"/>
  <c r="O103" i="17" s="1"/>
  <c r="I104" i="17"/>
  <c r="N104" i="17" s="1"/>
  <c r="J104" i="17"/>
  <c r="O104" i="17" s="1"/>
  <c r="I105" i="17"/>
  <c r="N105" i="17" s="1"/>
  <c r="J105" i="17"/>
  <c r="O105" i="17" s="1"/>
  <c r="I106" i="17"/>
  <c r="N106" i="17" s="1"/>
  <c r="J106" i="17"/>
  <c r="O106" i="17" s="1"/>
  <c r="I107" i="17"/>
  <c r="N107" i="17" s="1"/>
  <c r="J107" i="17"/>
  <c r="O107" i="17" s="1"/>
  <c r="I108" i="17"/>
  <c r="N108" i="17" s="1"/>
  <c r="J108" i="17"/>
  <c r="O108" i="17" s="1"/>
  <c r="I109" i="17"/>
  <c r="N109" i="17" s="1"/>
  <c r="J109" i="17"/>
  <c r="O109" i="17" s="1"/>
  <c r="I110" i="17"/>
  <c r="N110" i="17" s="1"/>
  <c r="J110" i="17"/>
  <c r="O110" i="17" s="1"/>
  <c r="I111" i="17"/>
  <c r="N111" i="17" s="1"/>
  <c r="J111" i="17"/>
  <c r="O111" i="17" s="1"/>
  <c r="I112" i="17"/>
  <c r="N112" i="17" s="1"/>
  <c r="J112" i="17"/>
  <c r="O112" i="17" s="1"/>
  <c r="I113" i="17"/>
  <c r="N113" i="17" s="1"/>
  <c r="J113" i="17"/>
  <c r="O113" i="17" s="1"/>
  <c r="I114" i="17"/>
  <c r="N114" i="17" s="1"/>
  <c r="J114" i="17"/>
  <c r="O114" i="17" s="1"/>
  <c r="I115" i="17"/>
  <c r="N115" i="17" s="1"/>
  <c r="J115" i="17"/>
  <c r="O115" i="17" s="1"/>
  <c r="I116" i="17"/>
  <c r="N116" i="17" s="1"/>
  <c r="J116" i="17"/>
  <c r="O116" i="17" s="1"/>
  <c r="I117" i="17"/>
  <c r="N117" i="17" s="1"/>
  <c r="J117" i="17"/>
  <c r="O117" i="17" s="1"/>
  <c r="I118" i="17"/>
  <c r="N118" i="17" s="1"/>
  <c r="J118" i="17"/>
  <c r="O118" i="17" s="1"/>
  <c r="I119" i="17"/>
  <c r="N119" i="17" s="1"/>
  <c r="J119" i="17"/>
  <c r="O119" i="17" s="1"/>
  <c r="I120" i="17"/>
  <c r="N120" i="17" s="1"/>
  <c r="J120" i="17"/>
  <c r="O120" i="17" s="1"/>
  <c r="I121" i="17"/>
  <c r="N121" i="17" s="1"/>
  <c r="J121" i="17"/>
  <c r="O121" i="17" s="1"/>
  <c r="I122" i="17"/>
  <c r="N122" i="17" s="1"/>
  <c r="J122" i="17"/>
  <c r="O122" i="17" s="1"/>
  <c r="I123" i="17"/>
  <c r="N123" i="17" s="1"/>
  <c r="J123" i="17"/>
  <c r="O123" i="17" s="1"/>
  <c r="I124" i="17"/>
  <c r="N124" i="17" s="1"/>
  <c r="J124" i="17"/>
  <c r="O124" i="17" s="1"/>
  <c r="I125" i="17"/>
  <c r="N125" i="17" s="1"/>
  <c r="J125" i="17"/>
  <c r="O125" i="17" s="1"/>
  <c r="I126" i="17"/>
  <c r="N126" i="17" s="1"/>
  <c r="J126" i="17"/>
  <c r="O126" i="17" s="1"/>
  <c r="I127" i="17"/>
  <c r="N127" i="17" s="1"/>
  <c r="J127" i="17"/>
  <c r="O127" i="17" s="1"/>
  <c r="I128" i="17"/>
  <c r="N128" i="17" s="1"/>
  <c r="J128" i="17"/>
  <c r="O128" i="17" s="1"/>
  <c r="I129" i="17"/>
  <c r="N129" i="17" s="1"/>
  <c r="J129" i="17"/>
  <c r="O129" i="17" s="1"/>
  <c r="I130" i="17"/>
  <c r="N130" i="17" s="1"/>
  <c r="J130" i="17"/>
  <c r="O130" i="17" s="1"/>
  <c r="I131" i="17"/>
  <c r="N131" i="17" s="1"/>
  <c r="J131" i="17"/>
  <c r="O131" i="17" s="1"/>
  <c r="I132" i="17"/>
  <c r="N132" i="17" s="1"/>
  <c r="J132" i="17"/>
  <c r="O132" i="17" s="1"/>
  <c r="I133" i="17"/>
  <c r="N133" i="17" s="1"/>
  <c r="J133" i="17"/>
  <c r="O133" i="17" s="1"/>
  <c r="I134" i="17"/>
  <c r="N134" i="17" s="1"/>
  <c r="J134" i="17"/>
  <c r="O134" i="17" s="1"/>
  <c r="I135" i="17"/>
  <c r="N135" i="17" s="1"/>
  <c r="J135" i="17"/>
  <c r="O135" i="17" s="1"/>
  <c r="I136" i="17"/>
  <c r="N136" i="17" s="1"/>
  <c r="J136" i="17"/>
  <c r="O136" i="17" s="1"/>
  <c r="I137" i="17"/>
  <c r="N137" i="17" s="1"/>
  <c r="J137" i="17"/>
  <c r="O137" i="17" s="1"/>
  <c r="I138" i="17"/>
  <c r="N138" i="17" s="1"/>
  <c r="J138" i="17"/>
  <c r="O138" i="17" s="1"/>
  <c r="I139" i="17"/>
  <c r="N139" i="17" s="1"/>
  <c r="J139" i="17"/>
  <c r="O139" i="17" s="1"/>
  <c r="I140" i="17"/>
  <c r="N140" i="17" s="1"/>
  <c r="J140" i="17"/>
  <c r="O140" i="17" s="1"/>
  <c r="I141" i="17"/>
  <c r="N141" i="17" s="1"/>
  <c r="J141" i="17"/>
  <c r="O141" i="17" s="1"/>
  <c r="I142" i="17"/>
  <c r="N142" i="17" s="1"/>
  <c r="J142" i="17"/>
  <c r="O142" i="17" s="1"/>
  <c r="I143" i="17"/>
  <c r="N143" i="17" s="1"/>
  <c r="J143" i="17"/>
  <c r="O143" i="17" s="1"/>
  <c r="I144" i="17"/>
  <c r="N144" i="17" s="1"/>
  <c r="J144" i="17"/>
  <c r="O144" i="17" s="1"/>
  <c r="I145" i="17"/>
  <c r="N145" i="17" s="1"/>
  <c r="J145" i="17"/>
  <c r="O145" i="17" s="1"/>
  <c r="I146" i="17"/>
  <c r="N146" i="17" s="1"/>
  <c r="J146" i="17"/>
  <c r="O146" i="17" s="1"/>
  <c r="I147" i="17"/>
  <c r="N147" i="17" s="1"/>
  <c r="J147" i="17"/>
  <c r="O147" i="17" s="1"/>
  <c r="I148" i="17"/>
  <c r="N148" i="17" s="1"/>
  <c r="J148" i="17"/>
  <c r="O148" i="17" s="1"/>
  <c r="I149" i="17"/>
  <c r="N149" i="17" s="1"/>
  <c r="J149" i="17"/>
  <c r="O149" i="17" s="1"/>
  <c r="I150" i="17"/>
  <c r="N150" i="17" s="1"/>
  <c r="J150" i="17"/>
  <c r="O150" i="17" s="1"/>
  <c r="I151" i="17"/>
  <c r="N151" i="17" s="1"/>
  <c r="J151" i="17"/>
  <c r="O151" i="17" s="1"/>
  <c r="I152" i="17"/>
  <c r="N152" i="17" s="1"/>
  <c r="J152" i="17"/>
  <c r="O152" i="17" s="1"/>
  <c r="I153" i="17"/>
  <c r="N153" i="17" s="1"/>
  <c r="J153" i="17"/>
  <c r="O153" i="17" s="1"/>
  <c r="I154" i="17"/>
  <c r="N154" i="17" s="1"/>
  <c r="J154" i="17"/>
  <c r="O154" i="17" s="1"/>
  <c r="I155" i="17"/>
  <c r="N155" i="17" s="1"/>
  <c r="J155" i="17"/>
  <c r="O155" i="17" s="1"/>
  <c r="I156" i="17"/>
  <c r="N156" i="17" s="1"/>
  <c r="J156" i="17"/>
  <c r="O156" i="17" s="1"/>
  <c r="I157" i="17"/>
  <c r="N157" i="17" s="1"/>
  <c r="J157" i="17"/>
  <c r="O157" i="17" s="1"/>
  <c r="I158" i="17"/>
  <c r="N158" i="17" s="1"/>
  <c r="J158" i="17"/>
  <c r="O158" i="17" s="1"/>
  <c r="I159" i="17"/>
  <c r="N159" i="17" s="1"/>
  <c r="J159" i="17"/>
  <c r="O159" i="17" s="1"/>
  <c r="I160" i="17"/>
  <c r="N160" i="17" s="1"/>
  <c r="J160" i="17"/>
  <c r="O160" i="17" s="1"/>
  <c r="I161" i="17"/>
  <c r="N161" i="17" s="1"/>
  <c r="J161" i="17"/>
  <c r="O161" i="17" s="1"/>
  <c r="I162" i="17"/>
  <c r="N162" i="17" s="1"/>
  <c r="J162" i="17"/>
  <c r="O162" i="17" s="1"/>
  <c r="I163" i="17"/>
  <c r="N163" i="17" s="1"/>
  <c r="J163" i="17"/>
  <c r="O163" i="17" s="1"/>
  <c r="I164" i="17"/>
  <c r="N164" i="17" s="1"/>
  <c r="J164" i="17"/>
  <c r="O164" i="17" s="1"/>
  <c r="I165" i="17"/>
  <c r="N165" i="17" s="1"/>
  <c r="J165" i="17"/>
  <c r="O165" i="17" s="1"/>
  <c r="I166" i="17"/>
  <c r="N166" i="17" s="1"/>
  <c r="J166" i="17"/>
  <c r="O166" i="17" s="1"/>
  <c r="I167" i="17"/>
  <c r="N167" i="17" s="1"/>
  <c r="J167" i="17"/>
  <c r="O167" i="17" s="1"/>
  <c r="I168" i="17"/>
  <c r="N168" i="17" s="1"/>
  <c r="J168" i="17"/>
  <c r="O168" i="17" s="1"/>
  <c r="I169" i="17"/>
  <c r="N169" i="17" s="1"/>
  <c r="J169" i="17"/>
  <c r="O169" i="17" s="1"/>
  <c r="I170" i="17"/>
  <c r="N170" i="17" s="1"/>
  <c r="J170" i="17"/>
  <c r="O170" i="17" s="1"/>
  <c r="I171" i="17"/>
  <c r="N171" i="17" s="1"/>
  <c r="J171" i="17"/>
  <c r="O171" i="17" s="1"/>
  <c r="I172" i="17"/>
  <c r="N172" i="17" s="1"/>
  <c r="J172" i="17"/>
  <c r="O172" i="17" s="1"/>
  <c r="I173" i="17"/>
  <c r="N173" i="17" s="1"/>
  <c r="J173" i="17"/>
  <c r="O173" i="17" s="1"/>
  <c r="I174" i="17"/>
  <c r="N174" i="17" s="1"/>
  <c r="J174" i="17"/>
  <c r="O174" i="17" s="1"/>
  <c r="I175" i="17"/>
  <c r="N175" i="17" s="1"/>
  <c r="J175" i="17"/>
  <c r="O175" i="17" s="1"/>
  <c r="I176" i="17"/>
  <c r="N176" i="17" s="1"/>
  <c r="J176" i="17"/>
  <c r="O176" i="17" s="1"/>
  <c r="I177" i="17"/>
  <c r="N177" i="17" s="1"/>
  <c r="J177" i="17"/>
  <c r="O177" i="17" s="1"/>
  <c r="I178" i="17"/>
  <c r="N178" i="17" s="1"/>
  <c r="J178" i="17"/>
  <c r="O178" i="17" s="1"/>
  <c r="I179" i="17"/>
  <c r="N179" i="17" s="1"/>
  <c r="J179" i="17"/>
  <c r="O179" i="17" s="1"/>
  <c r="I180" i="17"/>
  <c r="N180" i="17" s="1"/>
  <c r="J180" i="17"/>
  <c r="O180" i="17" s="1"/>
  <c r="I181" i="17"/>
  <c r="N181" i="17" s="1"/>
  <c r="J181" i="17"/>
  <c r="O181" i="17" s="1"/>
  <c r="I182" i="17"/>
  <c r="N182" i="17" s="1"/>
  <c r="J182" i="17"/>
  <c r="O182" i="17" s="1"/>
  <c r="I183" i="17"/>
  <c r="N183" i="17" s="1"/>
  <c r="J183" i="17"/>
  <c r="O183" i="17" s="1"/>
  <c r="I184" i="17"/>
  <c r="N184" i="17" s="1"/>
  <c r="J184" i="17"/>
  <c r="O184" i="17" s="1"/>
  <c r="I185" i="17"/>
  <c r="N185" i="17" s="1"/>
  <c r="J185" i="17"/>
  <c r="O185" i="17" s="1"/>
  <c r="I186" i="17"/>
  <c r="N186" i="17" s="1"/>
  <c r="J186" i="17"/>
  <c r="O186" i="17" s="1"/>
  <c r="I187" i="17"/>
  <c r="N187" i="17" s="1"/>
  <c r="J187" i="17"/>
  <c r="O187" i="17" s="1"/>
  <c r="I188" i="17"/>
  <c r="N188" i="17" s="1"/>
  <c r="J188" i="17"/>
  <c r="O188" i="17" s="1"/>
  <c r="I189" i="17"/>
  <c r="N189" i="17" s="1"/>
  <c r="J189" i="17"/>
  <c r="O189" i="17" s="1"/>
  <c r="I190" i="17"/>
  <c r="N190" i="17" s="1"/>
  <c r="J190" i="17"/>
  <c r="O190" i="17" s="1"/>
  <c r="I191" i="17"/>
  <c r="N191" i="17" s="1"/>
  <c r="J191" i="17"/>
  <c r="O191" i="17" s="1"/>
  <c r="I192" i="17"/>
  <c r="N192" i="17" s="1"/>
  <c r="J192" i="17"/>
  <c r="O192" i="17" s="1"/>
  <c r="I193" i="17"/>
  <c r="N193" i="17" s="1"/>
  <c r="J193" i="17"/>
  <c r="O193" i="17" s="1"/>
  <c r="I194" i="17"/>
  <c r="N194" i="17" s="1"/>
  <c r="J194" i="17"/>
  <c r="O194" i="17" s="1"/>
  <c r="I195" i="17"/>
  <c r="N195" i="17" s="1"/>
  <c r="J195" i="17"/>
  <c r="O195" i="17" s="1"/>
  <c r="I196" i="17"/>
  <c r="N196" i="17" s="1"/>
  <c r="J196" i="17"/>
  <c r="O196" i="17" s="1"/>
  <c r="I197" i="17"/>
  <c r="N197" i="17" s="1"/>
  <c r="J197" i="17"/>
  <c r="O197" i="17" s="1"/>
  <c r="I198" i="17"/>
  <c r="N198" i="17" s="1"/>
  <c r="J198" i="17"/>
  <c r="O198" i="17" s="1"/>
  <c r="I199" i="17"/>
  <c r="N199" i="17" s="1"/>
  <c r="J199" i="17"/>
  <c r="O199" i="17" s="1"/>
  <c r="I200" i="17"/>
  <c r="N200" i="17" s="1"/>
  <c r="J200" i="17"/>
  <c r="O200" i="17" s="1"/>
  <c r="I201" i="17"/>
  <c r="N201" i="17" s="1"/>
  <c r="J201" i="17"/>
  <c r="O201" i="17" s="1"/>
  <c r="I202" i="17"/>
  <c r="N202" i="17" s="1"/>
  <c r="J202" i="17"/>
  <c r="O202" i="17" s="1"/>
  <c r="I203" i="17"/>
  <c r="N203" i="17" s="1"/>
  <c r="J203" i="17"/>
  <c r="O203" i="17" s="1"/>
  <c r="I204" i="17"/>
  <c r="N204" i="17" s="1"/>
  <c r="J204" i="17"/>
  <c r="O204" i="17" s="1"/>
  <c r="I205" i="17"/>
  <c r="N205" i="17" s="1"/>
  <c r="J205" i="17"/>
  <c r="O205" i="17" s="1"/>
  <c r="I206" i="17"/>
  <c r="N206" i="17" s="1"/>
  <c r="J206" i="17"/>
  <c r="O206" i="17" s="1"/>
  <c r="I207" i="17"/>
  <c r="N207" i="17" s="1"/>
  <c r="J207" i="17"/>
  <c r="O207" i="17" s="1"/>
  <c r="I208" i="17"/>
  <c r="N208" i="17" s="1"/>
  <c r="J208" i="17"/>
  <c r="O208" i="17" s="1"/>
  <c r="I209" i="17"/>
  <c r="N209" i="17" s="1"/>
  <c r="J209" i="17"/>
  <c r="O209" i="17" s="1"/>
  <c r="I210" i="17"/>
  <c r="N210" i="17" s="1"/>
  <c r="J210" i="17"/>
  <c r="O210" i="17" s="1"/>
  <c r="I211" i="17"/>
  <c r="N211" i="17" s="1"/>
  <c r="J211" i="17"/>
  <c r="O211" i="17" s="1"/>
  <c r="I212" i="17"/>
  <c r="N212" i="17" s="1"/>
  <c r="J212" i="17"/>
  <c r="O212" i="17" s="1"/>
  <c r="I213" i="17"/>
  <c r="N213" i="17" s="1"/>
  <c r="J213" i="17"/>
  <c r="O213" i="17" s="1"/>
  <c r="I214" i="17"/>
  <c r="N214" i="17" s="1"/>
  <c r="J214" i="17"/>
  <c r="O214" i="17" s="1"/>
  <c r="I215" i="17"/>
  <c r="N215" i="17" s="1"/>
  <c r="J215" i="17"/>
  <c r="O215" i="17" s="1"/>
  <c r="I216" i="17"/>
  <c r="N216" i="17" s="1"/>
  <c r="J216" i="17"/>
  <c r="O216" i="17" s="1"/>
  <c r="I217" i="17"/>
  <c r="N217" i="17" s="1"/>
  <c r="J217" i="17"/>
  <c r="O217" i="17" s="1"/>
  <c r="I218" i="17"/>
  <c r="N218" i="17" s="1"/>
  <c r="J218" i="17"/>
  <c r="O218" i="17" s="1"/>
  <c r="I219" i="17"/>
  <c r="N219" i="17" s="1"/>
  <c r="J219" i="17"/>
  <c r="O219" i="17" s="1"/>
  <c r="I220" i="17"/>
  <c r="N220" i="17" s="1"/>
  <c r="J220" i="17"/>
  <c r="O220" i="17" s="1"/>
  <c r="I221" i="17"/>
  <c r="N221" i="17" s="1"/>
  <c r="J221" i="17"/>
  <c r="O221" i="17" s="1"/>
  <c r="I222" i="17"/>
  <c r="N222" i="17" s="1"/>
  <c r="J222" i="17"/>
  <c r="O222" i="17" s="1"/>
  <c r="I223" i="17"/>
  <c r="N223" i="17" s="1"/>
  <c r="J223" i="17"/>
  <c r="O223" i="17" s="1"/>
  <c r="I224" i="17"/>
  <c r="N224" i="17" s="1"/>
  <c r="J224" i="17"/>
  <c r="O224" i="17" s="1"/>
  <c r="I225" i="17"/>
  <c r="N225" i="17" s="1"/>
  <c r="J225" i="17"/>
  <c r="O225" i="17" s="1"/>
  <c r="I226" i="17"/>
  <c r="N226" i="17" s="1"/>
  <c r="J226" i="17"/>
  <c r="O226" i="17" s="1"/>
  <c r="I227" i="17"/>
  <c r="N227" i="17" s="1"/>
  <c r="J227" i="17"/>
  <c r="O227" i="17" s="1"/>
  <c r="I228" i="17"/>
  <c r="N228" i="17" s="1"/>
  <c r="J228" i="17"/>
  <c r="O228" i="17" s="1"/>
  <c r="I229" i="17"/>
  <c r="N229" i="17" s="1"/>
  <c r="J229" i="17"/>
  <c r="O229" i="17" s="1"/>
  <c r="I230" i="17"/>
  <c r="N230" i="17" s="1"/>
  <c r="J230" i="17"/>
  <c r="O230" i="17" s="1"/>
  <c r="I231" i="17"/>
  <c r="N231" i="17" s="1"/>
  <c r="J231" i="17"/>
  <c r="O231" i="17" s="1"/>
  <c r="I232" i="17"/>
  <c r="N232" i="17" s="1"/>
  <c r="J232" i="17"/>
  <c r="O232" i="17" s="1"/>
  <c r="I233" i="17"/>
  <c r="N233" i="17" s="1"/>
  <c r="J233" i="17"/>
  <c r="O233" i="17" s="1"/>
  <c r="I234" i="17"/>
  <c r="N234" i="17" s="1"/>
  <c r="J234" i="17"/>
  <c r="O234" i="17" s="1"/>
  <c r="I235" i="17"/>
  <c r="N235" i="17" s="1"/>
  <c r="J235" i="17"/>
  <c r="O235" i="17" s="1"/>
  <c r="I236" i="17"/>
  <c r="N236" i="17" s="1"/>
  <c r="J236" i="17"/>
  <c r="O236" i="17" s="1"/>
  <c r="I237" i="17"/>
  <c r="N237" i="17" s="1"/>
  <c r="J237" i="17"/>
  <c r="O237" i="17" s="1"/>
  <c r="I238" i="17"/>
  <c r="N238" i="17" s="1"/>
  <c r="J238" i="17"/>
  <c r="O238" i="17" s="1"/>
  <c r="I239" i="17"/>
  <c r="N239" i="17" s="1"/>
  <c r="J239" i="17"/>
  <c r="O239" i="17" s="1"/>
  <c r="I240" i="17"/>
  <c r="N240" i="17" s="1"/>
  <c r="J240" i="17"/>
  <c r="O240" i="17" s="1"/>
  <c r="I241" i="17"/>
  <c r="N241" i="17" s="1"/>
  <c r="J241" i="17"/>
  <c r="O241" i="17" s="1"/>
  <c r="I242" i="17"/>
  <c r="N242" i="17" s="1"/>
  <c r="J242" i="17"/>
  <c r="O242" i="17" s="1"/>
  <c r="I243" i="17"/>
  <c r="N243" i="17" s="1"/>
  <c r="J243" i="17"/>
  <c r="O243" i="17" s="1"/>
  <c r="I244" i="17"/>
  <c r="N244" i="17" s="1"/>
  <c r="J244" i="17"/>
  <c r="I245" i="17"/>
  <c r="N245" i="17" s="1"/>
  <c r="J245" i="17"/>
  <c r="O245" i="17" s="1"/>
  <c r="I246" i="17"/>
  <c r="N246" i="17" s="1"/>
  <c r="J246" i="17"/>
  <c r="O246" i="17" s="1"/>
  <c r="I247" i="17"/>
  <c r="N247" i="17" s="1"/>
  <c r="J247" i="17"/>
  <c r="O247" i="17" s="1"/>
  <c r="I248" i="17"/>
  <c r="N248" i="17" s="1"/>
  <c r="J248" i="17"/>
  <c r="O248" i="17" s="1"/>
  <c r="I249" i="17"/>
  <c r="N249" i="17" s="1"/>
  <c r="J249" i="17"/>
  <c r="O249" i="17" s="1"/>
  <c r="I250" i="17"/>
  <c r="N250" i="17" s="1"/>
  <c r="J250" i="17"/>
  <c r="O250" i="17" s="1"/>
  <c r="I251" i="17"/>
  <c r="N251" i="17" s="1"/>
  <c r="J251" i="17"/>
  <c r="O251" i="17" s="1"/>
  <c r="I252" i="17"/>
  <c r="N252" i="17" s="1"/>
  <c r="J252" i="17"/>
  <c r="O252" i="17" s="1"/>
  <c r="I253" i="17"/>
  <c r="N253" i="17" s="1"/>
  <c r="J253" i="17"/>
  <c r="O253" i="17" s="1"/>
  <c r="I254" i="17"/>
  <c r="N254" i="17" s="1"/>
  <c r="J254" i="17"/>
  <c r="O254" i="17" s="1"/>
  <c r="I255" i="17"/>
  <c r="N255" i="17" s="1"/>
  <c r="J255" i="17"/>
  <c r="O255" i="17" s="1"/>
  <c r="I256" i="17"/>
  <c r="N256" i="17" s="1"/>
  <c r="J256" i="17"/>
  <c r="O256" i="17" s="1"/>
  <c r="I257" i="17"/>
  <c r="N257" i="17" s="1"/>
  <c r="J257" i="17"/>
  <c r="O257" i="17" s="1"/>
  <c r="I258" i="17"/>
  <c r="N258" i="17" s="1"/>
  <c r="J258" i="17"/>
  <c r="O258" i="17" s="1"/>
  <c r="I259" i="17"/>
  <c r="N259" i="17" s="1"/>
  <c r="J259" i="17"/>
  <c r="O259" i="17" s="1"/>
  <c r="I260" i="17"/>
  <c r="N260" i="17" s="1"/>
  <c r="J260" i="17"/>
  <c r="O260" i="17" s="1"/>
  <c r="I261" i="17"/>
  <c r="N261" i="17" s="1"/>
  <c r="J261" i="17"/>
  <c r="O261" i="17" s="1"/>
  <c r="I262" i="17"/>
  <c r="N262" i="17" s="1"/>
  <c r="J262" i="17"/>
  <c r="O262" i="17" s="1"/>
  <c r="I263" i="17"/>
  <c r="N263" i="17" s="1"/>
  <c r="J263" i="17"/>
  <c r="O263" i="17" s="1"/>
  <c r="I264" i="17"/>
  <c r="N264" i="17" s="1"/>
  <c r="J264" i="17"/>
  <c r="O264" i="17" s="1"/>
  <c r="I265" i="17"/>
  <c r="N265" i="17" s="1"/>
  <c r="J265" i="17"/>
  <c r="O265" i="17" s="1"/>
  <c r="I266" i="17"/>
  <c r="N266" i="17" s="1"/>
  <c r="J266" i="17"/>
  <c r="O266" i="17" s="1"/>
  <c r="I267" i="17"/>
  <c r="N267" i="17" s="1"/>
  <c r="J267" i="17"/>
  <c r="O267" i="17" s="1"/>
  <c r="I268" i="17"/>
  <c r="N268" i="17" s="1"/>
  <c r="J268" i="17"/>
  <c r="O268" i="17" s="1"/>
  <c r="I269" i="17"/>
  <c r="N269" i="17" s="1"/>
  <c r="J269" i="17"/>
  <c r="O269" i="17" s="1"/>
  <c r="I270" i="17"/>
  <c r="N270" i="17" s="1"/>
  <c r="J270" i="17"/>
  <c r="O270" i="17" s="1"/>
  <c r="I271" i="17"/>
  <c r="N271" i="17" s="1"/>
  <c r="J271" i="17"/>
  <c r="O271" i="17" s="1"/>
  <c r="I272" i="17"/>
  <c r="N272" i="17" s="1"/>
  <c r="J272" i="17"/>
  <c r="O272" i="17" s="1"/>
  <c r="I273" i="17"/>
  <c r="N273" i="17" s="1"/>
  <c r="J273" i="17"/>
  <c r="O273" i="17" s="1"/>
  <c r="I274" i="17"/>
  <c r="N274" i="17" s="1"/>
  <c r="J274" i="17"/>
  <c r="O274" i="17" s="1"/>
  <c r="I275" i="17"/>
  <c r="N275" i="17" s="1"/>
  <c r="J275" i="17"/>
  <c r="O275" i="17" s="1"/>
  <c r="I276" i="17"/>
  <c r="N276" i="17" s="1"/>
  <c r="J276" i="17"/>
  <c r="O276" i="17" s="1"/>
  <c r="I277" i="17"/>
  <c r="N277" i="17" s="1"/>
  <c r="J277" i="17"/>
  <c r="O277" i="17" s="1"/>
  <c r="I278" i="17"/>
  <c r="N278" i="17" s="1"/>
  <c r="J278" i="17"/>
  <c r="O278" i="17" s="1"/>
  <c r="I279" i="17"/>
  <c r="N279" i="17" s="1"/>
  <c r="J279" i="17"/>
  <c r="O279" i="17" s="1"/>
  <c r="I280" i="17"/>
  <c r="N280" i="17" s="1"/>
  <c r="J280" i="17"/>
  <c r="O280" i="17" s="1"/>
  <c r="I281" i="17"/>
  <c r="N281" i="17" s="1"/>
  <c r="J281" i="17"/>
  <c r="O281" i="17" s="1"/>
  <c r="I282" i="17"/>
  <c r="N282" i="17" s="1"/>
  <c r="J282" i="17"/>
  <c r="O282" i="17" s="1"/>
  <c r="I283" i="17"/>
  <c r="N283" i="17" s="1"/>
  <c r="J283" i="17"/>
  <c r="O283" i="17" s="1"/>
  <c r="I284" i="17"/>
  <c r="N284" i="17" s="1"/>
  <c r="J284" i="17"/>
  <c r="O284" i="17" s="1"/>
  <c r="I285" i="17"/>
  <c r="N285" i="17" s="1"/>
  <c r="J285" i="17"/>
  <c r="O285" i="17" s="1"/>
  <c r="I286" i="17"/>
  <c r="N286" i="17" s="1"/>
  <c r="J286" i="17"/>
  <c r="O286" i="17" s="1"/>
  <c r="I287" i="17"/>
  <c r="N287" i="17" s="1"/>
  <c r="J287" i="17"/>
  <c r="O287" i="17" s="1"/>
  <c r="I288" i="17"/>
  <c r="N288" i="17" s="1"/>
  <c r="J288" i="17"/>
  <c r="O288" i="17" s="1"/>
  <c r="I289" i="17"/>
  <c r="N289" i="17" s="1"/>
  <c r="J289" i="17"/>
  <c r="O289" i="17" s="1"/>
  <c r="I290" i="17"/>
  <c r="N290" i="17" s="1"/>
  <c r="J290" i="17"/>
  <c r="O290" i="17" s="1"/>
  <c r="I291" i="17"/>
  <c r="N291" i="17" s="1"/>
  <c r="J291" i="17"/>
  <c r="O291" i="17" s="1"/>
  <c r="I292" i="17"/>
  <c r="N292" i="17" s="1"/>
  <c r="J292" i="17"/>
  <c r="O292" i="17" s="1"/>
  <c r="I293" i="17"/>
  <c r="N293" i="17" s="1"/>
  <c r="J293" i="17"/>
  <c r="O293" i="17" s="1"/>
  <c r="I294" i="17"/>
  <c r="N294" i="17" s="1"/>
  <c r="J294" i="17"/>
  <c r="O294" i="17" s="1"/>
  <c r="I295" i="17"/>
  <c r="N295" i="17" s="1"/>
  <c r="J295" i="17"/>
  <c r="O295" i="17" s="1"/>
  <c r="I296" i="17"/>
  <c r="N296" i="17" s="1"/>
  <c r="J296" i="17"/>
  <c r="O296" i="17" s="1"/>
  <c r="I297" i="17"/>
  <c r="N297" i="17" s="1"/>
  <c r="J297" i="17"/>
  <c r="O297" i="17" s="1"/>
  <c r="I298" i="17"/>
  <c r="N298" i="17" s="1"/>
  <c r="J298" i="17"/>
  <c r="O298" i="17" s="1"/>
  <c r="I299" i="17"/>
  <c r="N299" i="17" s="1"/>
  <c r="J299" i="17"/>
  <c r="O299" i="17" s="1"/>
  <c r="I300" i="17"/>
  <c r="N300" i="17" s="1"/>
  <c r="J300" i="17"/>
  <c r="O300" i="17" s="1"/>
  <c r="I301" i="17"/>
  <c r="N301" i="17" s="1"/>
  <c r="J301" i="17"/>
  <c r="O301" i="17" s="1"/>
  <c r="I302" i="17"/>
  <c r="N302" i="17" s="1"/>
  <c r="J302" i="17"/>
  <c r="O302" i="17" s="1"/>
  <c r="I303" i="17"/>
  <c r="N303" i="17" s="1"/>
  <c r="J303" i="17"/>
  <c r="O303" i="17" s="1"/>
  <c r="I304" i="17"/>
  <c r="N304" i="17" s="1"/>
  <c r="J304" i="17"/>
  <c r="O304" i="17" s="1"/>
  <c r="I305" i="17"/>
  <c r="N305" i="17" s="1"/>
  <c r="J305" i="17"/>
  <c r="O305" i="17" s="1"/>
  <c r="I306" i="17"/>
  <c r="N306" i="17" s="1"/>
  <c r="J306" i="17"/>
  <c r="O306" i="17" s="1"/>
  <c r="I307" i="17"/>
  <c r="N307" i="17" s="1"/>
  <c r="J307" i="17"/>
  <c r="O307" i="17" s="1"/>
  <c r="I308" i="17"/>
  <c r="N308" i="17" s="1"/>
  <c r="J308" i="17"/>
  <c r="O308" i="17" s="1"/>
  <c r="I309" i="17"/>
  <c r="N309" i="17" s="1"/>
  <c r="J309" i="17"/>
  <c r="O309" i="17" s="1"/>
  <c r="I310" i="17"/>
  <c r="N310" i="17" s="1"/>
  <c r="J310" i="17"/>
  <c r="O310" i="17" s="1"/>
  <c r="I311" i="17"/>
  <c r="N311" i="17" s="1"/>
  <c r="J311" i="17"/>
  <c r="O311" i="17" s="1"/>
  <c r="I312" i="17"/>
  <c r="N312" i="17" s="1"/>
  <c r="J312" i="17"/>
  <c r="O312" i="17" s="1"/>
  <c r="I313" i="17"/>
  <c r="N313" i="17" s="1"/>
  <c r="J313" i="17"/>
  <c r="O313" i="17" s="1"/>
  <c r="I314" i="17"/>
  <c r="N314" i="17" s="1"/>
  <c r="J314" i="17"/>
  <c r="O314" i="17" s="1"/>
  <c r="I315" i="17"/>
  <c r="N315" i="17" s="1"/>
  <c r="J315" i="17"/>
  <c r="O315" i="17" s="1"/>
  <c r="I316" i="17"/>
  <c r="N316" i="17" s="1"/>
  <c r="J316" i="17"/>
  <c r="O316" i="17" s="1"/>
  <c r="I317" i="17"/>
  <c r="N317" i="17" s="1"/>
  <c r="J317" i="17"/>
  <c r="O317" i="17" s="1"/>
  <c r="I318" i="17"/>
  <c r="N318" i="17" s="1"/>
  <c r="J318" i="17"/>
  <c r="O318" i="17" s="1"/>
  <c r="I319" i="17"/>
  <c r="N319" i="17" s="1"/>
  <c r="J319" i="17"/>
  <c r="O319" i="17" s="1"/>
  <c r="I320" i="17"/>
  <c r="N320" i="17" s="1"/>
  <c r="J320" i="17"/>
  <c r="O320" i="17" s="1"/>
  <c r="I321" i="17"/>
  <c r="N321" i="17" s="1"/>
  <c r="J321" i="17"/>
  <c r="O321" i="17" s="1"/>
  <c r="I322" i="17"/>
  <c r="N322" i="17" s="1"/>
  <c r="J322" i="17"/>
  <c r="O322" i="17" s="1"/>
  <c r="I323" i="17"/>
  <c r="N323" i="17" s="1"/>
  <c r="J323" i="17"/>
  <c r="O323" i="17" s="1"/>
  <c r="I324" i="17"/>
  <c r="N324" i="17" s="1"/>
  <c r="J324" i="17"/>
  <c r="O324" i="17" s="1"/>
  <c r="I325" i="17"/>
  <c r="N325" i="17" s="1"/>
  <c r="J325" i="17"/>
  <c r="O325" i="17" s="1"/>
  <c r="I326" i="17"/>
  <c r="N326" i="17" s="1"/>
  <c r="J326" i="17"/>
  <c r="O326" i="17" s="1"/>
  <c r="I327" i="17"/>
  <c r="N327" i="17" s="1"/>
  <c r="J327" i="17"/>
  <c r="O327" i="17" s="1"/>
  <c r="I328" i="17"/>
  <c r="N328" i="17" s="1"/>
  <c r="J328" i="17"/>
  <c r="O328" i="17" s="1"/>
  <c r="I329" i="17"/>
  <c r="N329" i="17" s="1"/>
  <c r="J329" i="17"/>
  <c r="O329" i="17" s="1"/>
  <c r="I330" i="17"/>
  <c r="N330" i="17" s="1"/>
  <c r="J330" i="17"/>
  <c r="O330" i="17" s="1"/>
  <c r="I331" i="17"/>
  <c r="N331" i="17" s="1"/>
  <c r="J331" i="17"/>
  <c r="O331" i="17" s="1"/>
  <c r="I332" i="17"/>
  <c r="N332" i="17" s="1"/>
  <c r="J332" i="17"/>
  <c r="O332" i="17" s="1"/>
  <c r="I333" i="17"/>
  <c r="N333" i="17" s="1"/>
  <c r="J333" i="17"/>
  <c r="O333" i="17" s="1"/>
  <c r="I334" i="17"/>
  <c r="N334" i="17" s="1"/>
  <c r="J334" i="17"/>
  <c r="O334" i="17" s="1"/>
  <c r="I335" i="17"/>
  <c r="N335" i="17" s="1"/>
  <c r="J335" i="17"/>
  <c r="O335" i="17" s="1"/>
  <c r="I336" i="17"/>
  <c r="N336" i="17" s="1"/>
  <c r="J336" i="17"/>
  <c r="O336" i="17" s="1"/>
  <c r="I337" i="17"/>
  <c r="N337" i="17" s="1"/>
  <c r="J337" i="17"/>
  <c r="O337" i="17" s="1"/>
  <c r="I338" i="17"/>
  <c r="N338" i="17" s="1"/>
  <c r="J338" i="17"/>
  <c r="O338" i="17" s="1"/>
  <c r="I339" i="17"/>
  <c r="N339" i="17" s="1"/>
  <c r="J339" i="17"/>
  <c r="O339" i="17" s="1"/>
  <c r="I340" i="17"/>
  <c r="N340" i="17" s="1"/>
  <c r="J340" i="17"/>
  <c r="O340" i="17" s="1"/>
  <c r="I341" i="17"/>
  <c r="N341" i="17" s="1"/>
  <c r="J341" i="17"/>
  <c r="O341" i="17" s="1"/>
  <c r="I342" i="17"/>
  <c r="N342" i="17" s="1"/>
  <c r="J342" i="17"/>
  <c r="O342" i="17" s="1"/>
  <c r="I343" i="17"/>
  <c r="N343" i="17" s="1"/>
  <c r="J343" i="17"/>
  <c r="O343" i="17" s="1"/>
  <c r="I344" i="17"/>
  <c r="N344" i="17" s="1"/>
  <c r="J344" i="17"/>
  <c r="O344" i="17" s="1"/>
  <c r="I345" i="17"/>
  <c r="N345" i="17" s="1"/>
  <c r="J345" i="17"/>
  <c r="O345" i="17" s="1"/>
  <c r="I346" i="17"/>
  <c r="N346" i="17" s="1"/>
  <c r="J346" i="17"/>
  <c r="O346" i="17" s="1"/>
  <c r="I347" i="17"/>
  <c r="N347" i="17" s="1"/>
  <c r="J347" i="17"/>
  <c r="O347" i="17" s="1"/>
  <c r="I348" i="17"/>
  <c r="N348" i="17" s="1"/>
  <c r="J348" i="17"/>
  <c r="O348" i="17" s="1"/>
  <c r="I349" i="17"/>
  <c r="N349" i="17" s="1"/>
  <c r="J349" i="17"/>
  <c r="O349" i="17" s="1"/>
  <c r="I350" i="17"/>
  <c r="N350" i="17" s="1"/>
  <c r="J350" i="17"/>
  <c r="O350" i="17" s="1"/>
  <c r="I351" i="17"/>
  <c r="N351" i="17" s="1"/>
  <c r="J351" i="17"/>
  <c r="O351" i="17" s="1"/>
  <c r="I352" i="17"/>
  <c r="N352" i="17" s="1"/>
  <c r="J352" i="17"/>
  <c r="O352" i="17" s="1"/>
  <c r="I353" i="17"/>
  <c r="N353" i="17" s="1"/>
  <c r="J353" i="17"/>
  <c r="O353" i="17" s="1"/>
  <c r="I354" i="17"/>
  <c r="N354" i="17" s="1"/>
  <c r="J354" i="17"/>
  <c r="O354" i="17" s="1"/>
  <c r="I355" i="17"/>
  <c r="N355" i="17" s="1"/>
  <c r="J355" i="17"/>
  <c r="O355" i="17" s="1"/>
  <c r="I356" i="17"/>
  <c r="N356" i="17" s="1"/>
  <c r="J356" i="17"/>
  <c r="O356" i="17" s="1"/>
  <c r="I357" i="17"/>
  <c r="N357" i="17" s="1"/>
  <c r="J357" i="17"/>
  <c r="O357" i="17" s="1"/>
  <c r="I358" i="17"/>
  <c r="N358" i="17" s="1"/>
  <c r="J358" i="17"/>
  <c r="O358" i="17" s="1"/>
  <c r="I359" i="17"/>
  <c r="N359" i="17" s="1"/>
  <c r="J359" i="17"/>
  <c r="O359" i="17" s="1"/>
  <c r="I360" i="17"/>
  <c r="N360" i="17" s="1"/>
  <c r="J360" i="17"/>
  <c r="O360" i="17" s="1"/>
  <c r="I361" i="17"/>
  <c r="N361" i="17" s="1"/>
  <c r="J361" i="17"/>
  <c r="O361" i="17" s="1"/>
  <c r="I362" i="17"/>
  <c r="N362" i="17" s="1"/>
  <c r="J362" i="17"/>
  <c r="O362" i="17" s="1"/>
  <c r="I363" i="17"/>
  <c r="N363" i="17" s="1"/>
  <c r="J363" i="17"/>
  <c r="O363" i="17" s="1"/>
  <c r="I364" i="17"/>
  <c r="N364" i="17" s="1"/>
  <c r="J364" i="17"/>
  <c r="O364" i="17" s="1"/>
  <c r="I365" i="17"/>
  <c r="N365" i="17" s="1"/>
  <c r="J365" i="17"/>
  <c r="O365" i="17" s="1"/>
  <c r="I366" i="17"/>
  <c r="N366" i="17" s="1"/>
  <c r="J366" i="17"/>
  <c r="O366" i="17" s="1"/>
  <c r="I367" i="17"/>
  <c r="N367" i="17" s="1"/>
  <c r="J367" i="17"/>
  <c r="O367" i="17" s="1"/>
  <c r="I368" i="17"/>
  <c r="N368" i="17" s="1"/>
  <c r="J368" i="17"/>
  <c r="O368" i="17" s="1"/>
  <c r="I369" i="17"/>
  <c r="N369" i="17" s="1"/>
  <c r="J369" i="17"/>
  <c r="O369" i="17" s="1"/>
  <c r="I370" i="17"/>
  <c r="N370" i="17" s="1"/>
  <c r="J370" i="17"/>
  <c r="O370" i="17" s="1"/>
  <c r="I371" i="17"/>
  <c r="N371" i="17" s="1"/>
  <c r="J371" i="17"/>
  <c r="O371" i="17" s="1"/>
  <c r="I372" i="17"/>
  <c r="N372" i="17" s="1"/>
  <c r="J372" i="17"/>
  <c r="O372" i="17" s="1"/>
  <c r="I373" i="17"/>
  <c r="N373" i="17" s="1"/>
  <c r="J373" i="17"/>
  <c r="O373" i="17" s="1"/>
  <c r="I374" i="17"/>
  <c r="N374" i="17" s="1"/>
  <c r="J374" i="17"/>
  <c r="O374" i="17" s="1"/>
  <c r="I375" i="17"/>
  <c r="N375" i="17" s="1"/>
  <c r="J375" i="17"/>
  <c r="O375" i="17" s="1"/>
  <c r="I376" i="17"/>
  <c r="N376" i="17" s="1"/>
  <c r="J376" i="17"/>
  <c r="O376" i="17" s="1"/>
  <c r="I377" i="17"/>
  <c r="N377" i="17" s="1"/>
  <c r="J377" i="17"/>
  <c r="O377" i="17" s="1"/>
  <c r="I378" i="17"/>
  <c r="N378" i="17" s="1"/>
  <c r="J378" i="17"/>
  <c r="O378" i="17" s="1"/>
  <c r="I379" i="17"/>
  <c r="N379" i="17" s="1"/>
  <c r="J379" i="17"/>
  <c r="O379" i="17" s="1"/>
  <c r="I380" i="17"/>
  <c r="N380" i="17" s="1"/>
  <c r="J380" i="17"/>
  <c r="O380" i="17" s="1"/>
  <c r="I381" i="17"/>
  <c r="N381" i="17" s="1"/>
  <c r="J381" i="17"/>
  <c r="O381" i="17" s="1"/>
  <c r="I382" i="17"/>
  <c r="N382" i="17" s="1"/>
  <c r="J382" i="17"/>
  <c r="O382" i="17" s="1"/>
  <c r="I383" i="17"/>
  <c r="N383" i="17" s="1"/>
  <c r="J383" i="17"/>
  <c r="O383" i="17" s="1"/>
  <c r="I384" i="17"/>
  <c r="N384" i="17" s="1"/>
  <c r="J384" i="17"/>
  <c r="O384" i="17" s="1"/>
  <c r="I385" i="17"/>
  <c r="N385" i="17" s="1"/>
  <c r="J385" i="17"/>
  <c r="O385" i="17" s="1"/>
  <c r="I386" i="17"/>
  <c r="N386" i="17" s="1"/>
  <c r="J386" i="17"/>
  <c r="O386" i="17" s="1"/>
  <c r="I387" i="17"/>
  <c r="N387" i="17" s="1"/>
  <c r="J387" i="17"/>
  <c r="O387" i="17" s="1"/>
  <c r="I388" i="17"/>
  <c r="N388" i="17" s="1"/>
  <c r="J388" i="17"/>
  <c r="O388" i="17" s="1"/>
  <c r="I389" i="17"/>
  <c r="N389" i="17" s="1"/>
  <c r="J389" i="17"/>
  <c r="O389" i="17" s="1"/>
  <c r="I390" i="17"/>
  <c r="N390" i="17" s="1"/>
  <c r="J390" i="17"/>
  <c r="O390" i="17" s="1"/>
  <c r="I391" i="17"/>
  <c r="N391" i="17" s="1"/>
  <c r="J391" i="17"/>
  <c r="O391" i="17" s="1"/>
  <c r="I392" i="17"/>
  <c r="N392" i="17" s="1"/>
  <c r="J392" i="17"/>
  <c r="O392" i="17" s="1"/>
  <c r="I393" i="17"/>
  <c r="N393" i="17" s="1"/>
  <c r="J393" i="17"/>
  <c r="O393" i="17" s="1"/>
  <c r="I394" i="17"/>
  <c r="N394" i="17" s="1"/>
  <c r="J394" i="17"/>
  <c r="O394" i="17" s="1"/>
  <c r="I395" i="17"/>
  <c r="N395" i="17" s="1"/>
  <c r="J395" i="17"/>
  <c r="O395" i="17" s="1"/>
  <c r="I396" i="17"/>
  <c r="N396" i="17" s="1"/>
  <c r="J396" i="17"/>
  <c r="O396" i="17" s="1"/>
  <c r="I397" i="17"/>
  <c r="N397" i="17" s="1"/>
  <c r="J397" i="17"/>
  <c r="O397" i="17" s="1"/>
  <c r="I398" i="17"/>
  <c r="N398" i="17" s="1"/>
  <c r="J398" i="17"/>
  <c r="O398" i="17" s="1"/>
  <c r="I399" i="17"/>
  <c r="N399" i="17" s="1"/>
  <c r="J399" i="17"/>
  <c r="O399" i="17" s="1"/>
  <c r="I400" i="17"/>
  <c r="N400" i="17" s="1"/>
  <c r="J400" i="17"/>
  <c r="O400" i="17" s="1"/>
  <c r="I401" i="17"/>
  <c r="N401" i="17" s="1"/>
  <c r="J401" i="17"/>
  <c r="O401" i="17" s="1"/>
  <c r="I402" i="17"/>
  <c r="N402" i="17" s="1"/>
  <c r="J402" i="17"/>
  <c r="O402" i="17" s="1"/>
  <c r="I403" i="17"/>
  <c r="N403" i="17" s="1"/>
  <c r="J403" i="17"/>
  <c r="O403" i="17" s="1"/>
  <c r="I404" i="17"/>
  <c r="N404" i="17" s="1"/>
  <c r="J404" i="17"/>
  <c r="O404" i="17" s="1"/>
  <c r="I405" i="17"/>
  <c r="N405" i="17" s="1"/>
  <c r="J405" i="17"/>
  <c r="O405" i="17" s="1"/>
  <c r="I406" i="17"/>
  <c r="N406" i="17" s="1"/>
  <c r="J406" i="17"/>
  <c r="O406" i="17" s="1"/>
  <c r="I407" i="17"/>
  <c r="N407" i="17" s="1"/>
  <c r="J407" i="17"/>
  <c r="O407" i="17" s="1"/>
  <c r="I408" i="17"/>
  <c r="N408" i="17" s="1"/>
  <c r="J408" i="17"/>
  <c r="O408" i="17" s="1"/>
  <c r="I409" i="17"/>
  <c r="N409" i="17" s="1"/>
  <c r="J409" i="17"/>
  <c r="O409" i="17" s="1"/>
  <c r="I410" i="17"/>
  <c r="N410" i="17" s="1"/>
  <c r="J410" i="17"/>
  <c r="O410" i="17" s="1"/>
  <c r="I411" i="17"/>
  <c r="N411" i="17" s="1"/>
  <c r="J411" i="17"/>
  <c r="O411" i="17" s="1"/>
  <c r="I412" i="17"/>
  <c r="N412" i="17" s="1"/>
  <c r="J412" i="17"/>
  <c r="O412" i="17" s="1"/>
  <c r="I413" i="17"/>
  <c r="N413" i="17" s="1"/>
  <c r="J413" i="17"/>
  <c r="O413" i="17" s="1"/>
  <c r="I414" i="17"/>
  <c r="N414" i="17" s="1"/>
  <c r="J414" i="17"/>
  <c r="O414" i="17" s="1"/>
  <c r="I415" i="17"/>
  <c r="N415" i="17" s="1"/>
  <c r="J415" i="17"/>
  <c r="O415" i="17" s="1"/>
  <c r="I416" i="17"/>
  <c r="N416" i="17" s="1"/>
  <c r="J416" i="17"/>
  <c r="O416" i="17" s="1"/>
  <c r="I417" i="17"/>
  <c r="N417" i="17" s="1"/>
  <c r="J417" i="17"/>
  <c r="O417" i="17" s="1"/>
  <c r="I418" i="17"/>
  <c r="N418" i="17" s="1"/>
  <c r="J418" i="17"/>
  <c r="O418" i="17" s="1"/>
  <c r="I419" i="17"/>
  <c r="N419" i="17" s="1"/>
  <c r="J419" i="17"/>
  <c r="O419" i="17" s="1"/>
  <c r="I420" i="17"/>
  <c r="N420" i="17" s="1"/>
  <c r="J420" i="17"/>
  <c r="O420" i="17" s="1"/>
  <c r="I421" i="17"/>
  <c r="N421" i="17" s="1"/>
  <c r="J421" i="17"/>
  <c r="O421" i="17" s="1"/>
  <c r="I422" i="17"/>
  <c r="N422" i="17" s="1"/>
  <c r="J422" i="17"/>
  <c r="O422" i="17" s="1"/>
  <c r="I423" i="17"/>
  <c r="N423" i="17" s="1"/>
  <c r="J423" i="17"/>
  <c r="O423" i="17" s="1"/>
  <c r="I424" i="17"/>
  <c r="N424" i="17" s="1"/>
  <c r="J424" i="17"/>
  <c r="O424" i="17" s="1"/>
  <c r="I425" i="17"/>
  <c r="N425" i="17" s="1"/>
  <c r="J425" i="17"/>
  <c r="O425" i="17" s="1"/>
  <c r="I426" i="17"/>
  <c r="N426" i="17" s="1"/>
  <c r="J426" i="17"/>
  <c r="O426" i="17" s="1"/>
  <c r="I427" i="17"/>
  <c r="N427" i="17" s="1"/>
  <c r="J427" i="17"/>
  <c r="O427" i="17" s="1"/>
  <c r="I428" i="17"/>
  <c r="N428" i="17" s="1"/>
  <c r="J428" i="17"/>
  <c r="O428" i="17" s="1"/>
  <c r="I429" i="17"/>
  <c r="N429" i="17" s="1"/>
  <c r="J429" i="17"/>
  <c r="O429" i="17" s="1"/>
  <c r="I430" i="17"/>
  <c r="N430" i="17" s="1"/>
  <c r="J430" i="17"/>
  <c r="O430" i="17" s="1"/>
  <c r="I431" i="17"/>
  <c r="N431" i="17" s="1"/>
  <c r="J431" i="17"/>
  <c r="O431" i="17" s="1"/>
  <c r="I432" i="17"/>
  <c r="N432" i="17" s="1"/>
  <c r="J432" i="17"/>
  <c r="O432" i="17" s="1"/>
  <c r="I433" i="17"/>
  <c r="N433" i="17" s="1"/>
  <c r="J433" i="17"/>
  <c r="O433" i="17" s="1"/>
  <c r="I434" i="17"/>
  <c r="N434" i="17" s="1"/>
  <c r="J434" i="17"/>
  <c r="O434" i="17" s="1"/>
  <c r="I435" i="17"/>
  <c r="N435" i="17" s="1"/>
  <c r="J435" i="17"/>
  <c r="O435" i="17" s="1"/>
  <c r="I436" i="17"/>
  <c r="N436" i="17" s="1"/>
  <c r="J436" i="17"/>
  <c r="O436" i="17" s="1"/>
  <c r="I437" i="17"/>
  <c r="N437" i="17" s="1"/>
  <c r="J437" i="17"/>
  <c r="O437" i="17" s="1"/>
  <c r="I438" i="17"/>
  <c r="N438" i="17" s="1"/>
  <c r="J438" i="17"/>
  <c r="O438" i="17" s="1"/>
  <c r="I439" i="17"/>
  <c r="N439" i="17" s="1"/>
  <c r="J439" i="17"/>
  <c r="O439" i="17" s="1"/>
  <c r="I440" i="17"/>
  <c r="N440" i="17" s="1"/>
  <c r="J440" i="17"/>
  <c r="O440" i="17" s="1"/>
  <c r="I441" i="17"/>
  <c r="N441" i="17" s="1"/>
  <c r="J441" i="17"/>
  <c r="O441" i="17" s="1"/>
  <c r="I442" i="17"/>
  <c r="N442" i="17" s="1"/>
  <c r="J442" i="17"/>
  <c r="O442" i="17" s="1"/>
  <c r="I443" i="17"/>
  <c r="N443" i="17" s="1"/>
  <c r="J443" i="17"/>
  <c r="O443" i="17" s="1"/>
  <c r="I444" i="17"/>
  <c r="N444" i="17" s="1"/>
  <c r="J444" i="17"/>
  <c r="O444" i="17" s="1"/>
  <c r="I445" i="17"/>
  <c r="N445" i="17" s="1"/>
  <c r="J445" i="17"/>
  <c r="O445" i="17" s="1"/>
  <c r="I446" i="17"/>
  <c r="N446" i="17" s="1"/>
  <c r="J446" i="17"/>
  <c r="O446" i="17" s="1"/>
  <c r="I447" i="17"/>
  <c r="N447" i="17" s="1"/>
  <c r="J447" i="17"/>
  <c r="O447" i="17" s="1"/>
  <c r="I448" i="17"/>
  <c r="N448" i="17" s="1"/>
  <c r="J448" i="17"/>
  <c r="O448" i="17" s="1"/>
  <c r="I449" i="17"/>
  <c r="N449" i="17" s="1"/>
  <c r="J449" i="17"/>
  <c r="O449" i="17" s="1"/>
  <c r="I450" i="17"/>
  <c r="N450" i="17" s="1"/>
  <c r="J450" i="17"/>
  <c r="O450" i="17" s="1"/>
  <c r="I451" i="17"/>
  <c r="N451" i="17" s="1"/>
  <c r="J451" i="17"/>
  <c r="O451" i="17" s="1"/>
  <c r="I452" i="17"/>
  <c r="N452" i="17" s="1"/>
  <c r="J452" i="17"/>
  <c r="O452" i="17" s="1"/>
  <c r="I453" i="17"/>
  <c r="N453" i="17" s="1"/>
  <c r="J453" i="17"/>
  <c r="O453" i="17" s="1"/>
  <c r="I454" i="17"/>
  <c r="N454" i="17" s="1"/>
  <c r="J454" i="17"/>
  <c r="O454" i="17" s="1"/>
  <c r="I455" i="17"/>
  <c r="N455" i="17" s="1"/>
  <c r="J455" i="17"/>
  <c r="O455" i="17" s="1"/>
  <c r="I456" i="17"/>
  <c r="N456" i="17" s="1"/>
  <c r="J456" i="17"/>
  <c r="O456" i="17" s="1"/>
  <c r="I457" i="17"/>
  <c r="N457" i="17" s="1"/>
  <c r="J457" i="17"/>
  <c r="O457" i="17" s="1"/>
  <c r="I458" i="17"/>
  <c r="N458" i="17" s="1"/>
  <c r="J458" i="17"/>
  <c r="O458" i="17" s="1"/>
  <c r="I459" i="17"/>
  <c r="N459" i="17" s="1"/>
  <c r="J459" i="17"/>
  <c r="O459" i="17" s="1"/>
  <c r="I460" i="17"/>
  <c r="N460" i="17" s="1"/>
  <c r="J460" i="17"/>
  <c r="O460" i="17" s="1"/>
  <c r="I461" i="17"/>
  <c r="N461" i="17" s="1"/>
  <c r="J461" i="17"/>
  <c r="O461" i="17" s="1"/>
  <c r="I462" i="17"/>
  <c r="N462" i="17" s="1"/>
  <c r="J462" i="17"/>
  <c r="O462" i="17" s="1"/>
  <c r="I463" i="17"/>
  <c r="N463" i="17" s="1"/>
  <c r="J463" i="17"/>
  <c r="O463" i="17" s="1"/>
  <c r="I464" i="17"/>
  <c r="N464" i="17" s="1"/>
  <c r="J464" i="17"/>
  <c r="O464" i="17" s="1"/>
  <c r="I465" i="17"/>
  <c r="N465" i="17" s="1"/>
  <c r="J465" i="17"/>
  <c r="O465" i="17" s="1"/>
  <c r="I466" i="17"/>
  <c r="N466" i="17" s="1"/>
  <c r="J466" i="17"/>
  <c r="O466" i="17" s="1"/>
  <c r="I467" i="17"/>
  <c r="N467" i="17" s="1"/>
  <c r="J467" i="17"/>
  <c r="O467" i="17" s="1"/>
  <c r="I468" i="17"/>
  <c r="N468" i="17" s="1"/>
  <c r="J468" i="17"/>
  <c r="O468" i="17" s="1"/>
  <c r="I469" i="17"/>
  <c r="N469" i="17" s="1"/>
  <c r="J469" i="17"/>
  <c r="O469" i="17" s="1"/>
  <c r="I470" i="17"/>
  <c r="N470" i="17" s="1"/>
  <c r="J470" i="17"/>
  <c r="O470" i="17" s="1"/>
  <c r="I471" i="17"/>
  <c r="N471" i="17" s="1"/>
  <c r="J471" i="17"/>
  <c r="O471" i="17" s="1"/>
  <c r="I472" i="17"/>
  <c r="N472" i="17" s="1"/>
  <c r="J472" i="17"/>
  <c r="O472" i="17" s="1"/>
  <c r="I473" i="17"/>
  <c r="N473" i="17" s="1"/>
  <c r="J473" i="17"/>
  <c r="O473" i="17" s="1"/>
  <c r="I474" i="17"/>
  <c r="N474" i="17" s="1"/>
  <c r="J474" i="17"/>
  <c r="O474" i="17" s="1"/>
  <c r="I475" i="17"/>
  <c r="N475" i="17" s="1"/>
  <c r="J475" i="17"/>
  <c r="O475" i="17" s="1"/>
  <c r="I476" i="17"/>
  <c r="N476" i="17" s="1"/>
  <c r="J476" i="17"/>
  <c r="O476" i="17" s="1"/>
  <c r="I477" i="17"/>
  <c r="N477" i="17" s="1"/>
  <c r="J477" i="17"/>
  <c r="O477" i="17" s="1"/>
  <c r="I478" i="17"/>
  <c r="N478" i="17" s="1"/>
  <c r="J478" i="17"/>
  <c r="O478" i="17" s="1"/>
  <c r="I479" i="17"/>
  <c r="N479" i="17" s="1"/>
  <c r="J479" i="17"/>
  <c r="O479" i="17" s="1"/>
  <c r="I480" i="17"/>
  <c r="N480" i="17" s="1"/>
  <c r="J480" i="17"/>
  <c r="O480" i="17" s="1"/>
  <c r="I481" i="17"/>
  <c r="N481" i="17" s="1"/>
  <c r="J481" i="17"/>
  <c r="O481" i="17" s="1"/>
  <c r="I482" i="17"/>
  <c r="N482" i="17" s="1"/>
  <c r="J482" i="17"/>
  <c r="O482" i="17" s="1"/>
  <c r="I483" i="17"/>
  <c r="N483" i="17" s="1"/>
  <c r="J483" i="17"/>
  <c r="O483" i="17" s="1"/>
  <c r="I484" i="17"/>
  <c r="N484" i="17" s="1"/>
  <c r="J484" i="17"/>
  <c r="O484" i="17" s="1"/>
  <c r="I485" i="17"/>
  <c r="N485" i="17" s="1"/>
  <c r="J485" i="17"/>
  <c r="O485" i="17" s="1"/>
  <c r="I486" i="17"/>
  <c r="N486" i="17" s="1"/>
  <c r="J486" i="17"/>
  <c r="O486" i="17" s="1"/>
  <c r="I487" i="17"/>
  <c r="N487" i="17" s="1"/>
  <c r="J487" i="17"/>
  <c r="O487" i="17" s="1"/>
  <c r="I488" i="17"/>
  <c r="N488" i="17" s="1"/>
  <c r="J488" i="17"/>
  <c r="O488" i="17" s="1"/>
  <c r="I489" i="17"/>
  <c r="N489" i="17" s="1"/>
  <c r="J489" i="17"/>
  <c r="O489" i="17" s="1"/>
  <c r="I490" i="17"/>
  <c r="N490" i="17" s="1"/>
  <c r="J490" i="17"/>
  <c r="O490" i="17" s="1"/>
  <c r="I491" i="17"/>
  <c r="N491" i="17" s="1"/>
  <c r="J491" i="17"/>
  <c r="O491" i="17" s="1"/>
  <c r="I492" i="17"/>
  <c r="N492" i="17" s="1"/>
  <c r="J492" i="17"/>
  <c r="O492" i="17" s="1"/>
  <c r="I493" i="17"/>
  <c r="N493" i="17" s="1"/>
  <c r="J493" i="17"/>
  <c r="O493" i="17" s="1"/>
  <c r="I494" i="17"/>
  <c r="N494" i="17" s="1"/>
  <c r="J494" i="17"/>
  <c r="O494" i="17" s="1"/>
  <c r="I495" i="17"/>
  <c r="N495" i="17" s="1"/>
  <c r="J495" i="17"/>
  <c r="O495" i="17" s="1"/>
  <c r="I496" i="17"/>
  <c r="N496" i="17" s="1"/>
  <c r="J496" i="17"/>
  <c r="O496" i="17" s="1"/>
  <c r="I497" i="17"/>
  <c r="N497" i="17" s="1"/>
  <c r="J497" i="17"/>
  <c r="O497" i="17" s="1"/>
  <c r="I498" i="17"/>
  <c r="N498" i="17" s="1"/>
  <c r="J498" i="17"/>
  <c r="O498" i="17" s="1"/>
  <c r="I499" i="17"/>
  <c r="N499" i="17" s="1"/>
  <c r="J499" i="17"/>
  <c r="O499" i="17" s="1"/>
  <c r="I500" i="17"/>
  <c r="N500" i="17" s="1"/>
  <c r="J500" i="17"/>
  <c r="O500" i="17" s="1"/>
  <c r="I501" i="17"/>
  <c r="N501" i="17" s="1"/>
  <c r="J501" i="17"/>
  <c r="O501" i="17" s="1"/>
  <c r="I502" i="17"/>
  <c r="N502" i="17" s="1"/>
  <c r="J502" i="17"/>
  <c r="O502" i="17" s="1"/>
  <c r="I503" i="17"/>
  <c r="N503" i="17" s="1"/>
  <c r="J503" i="17"/>
  <c r="O503" i="17" s="1"/>
  <c r="I504" i="17"/>
  <c r="N504" i="17" s="1"/>
  <c r="J504" i="17"/>
  <c r="O504" i="17" s="1"/>
  <c r="I505" i="17"/>
  <c r="N505" i="17" s="1"/>
  <c r="J505" i="17"/>
  <c r="O505" i="17" s="1"/>
  <c r="I506" i="17"/>
  <c r="N506" i="17" s="1"/>
  <c r="J506" i="17"/>
  <c r="O506" i="17" s="1"/>
  <c r="I507" i="17"/>
  <c r="N507" i="17" s="1"/>
  <c r="J507" i="17"/>
  <c r="O507" i="17" s="1"/>
  <c r="I508" i="17"/>
  <c r="N508" i="17" s="1"/>
  <c r="J508" i="17"/>
  <c r="O508" i="17" s="1"/>
  <c r="I509" i="17"/>
  <c r="N509" i="17" s="1"/>
  <c r="J509" i="17"/>
  <c r="O509" i="17" s="1"/>
  <c r="I510" i="17"/>
  <c r="N510" i="17" s="1"/>
  <c r="J510" i="17"/>
  <c r="O510" i="17" s="1"/>
  <c r="I511" i="17"/>
  <c r="N511" i="17" s="1"/>
  <c r="J511" i="17"/>
  <c r="O511" i="17" s="1"/>
  <c r="I512" i="17"/>
  <c r="N512" i="17" s="1"/>
  <c r="J512" i="17"/>
  <c r="O512" i="17" s="1"/>
  <c r="I513" i="17"/>
  <c r="N513" i="17" s="1"/>
  <c r="J513" i="17"/>
  <c r="O513" i="17" s="1"/>
  <c r="I514" i="17"/>
  <c r="N514" i="17" s="1"/>
  <c r="J514" i="17"/>
  <c r="O514" i="17" s="1"/>
  <c r="I515" i="17"/>
  <c r="N515" i="17" s="1"/>
  <c r="J515" i="17"/>
  <c r="O515" i="17" s="1"/>
  <c r="I516" i="17"/>
  <c r="N516" i="17" s="1"/>
  <c r="J516" i="17"/>
  <c r="O516" i="17" s="1"/>
  <c r="I517" i="17"/>
  <c r="N517" i="17" s="1"/>
  <c r="J517" i="17"/>
  <c r="O517" i="17" s="1"/>
  <c r="I518" i="17"/>
  <c r="N518" i="17" s="1"/>
  <c r="J518" i="17"/>
  <c r="O518" i="17" s="1"/>
  <c r="I519" i="17"/>
  <c r="N519" i="17" s="1"/>
  <c r="J519" i="17"/>
  <c r="O519" i="17" s="1"/>
  <c r="I520" i="17"/>
  <c r="N520" i="17" s="1"/>
  <c r="J520" i="17"/>
  <c r="O520" i="17" s="1"/>
  <c r="I521" i="17"/>
  <c r="N521" i="17" s="1"/>
  <c r="J521" i="17"/>
  <c r="O521" i="17" s="1"/>
  <c r="I522" i="17"/>
  <c r="N522" i="17" s="1"/>
  <c r="J522" i="17"/>
  <c r="O522" i="17" s="1"/>
  <c r="I523" i="17"/>
  <c r="N523" i="17" s="1"/>
  <c r="J523" i="17"/>
  <c r="O523" i="17" s="1"/>
  <c r="I524" i="17"/>
  <c r="N524" i="17" s="1"/>
  <c r="J524" i="17"/>
  <c r="O524" i="17" s="1"/>
  <c r="I525" i="17"/>
  <c r="N525" i="17" s="1"/>
  <c r="J525" i="17"/>
  <c r="O525" i="17" s="1"/>
  <c r="I526" i="17"/>
  <c r="N526" i="17" s="1"/>
  <c r="J526" i="17"/>
  <c r="O526" i="17" s="1"/>
  <c r="I527" i="17"/>
  <c r="N527" i="17" s="1"/>
  <c r="J527" i="17"/>
  <c r="O527" i="17" s="1"/>
  <c r="I528" i="17"/>
  <c r="N528" i="17" s="1"/>
  <c r="J528" i="17"/>
  <c r="O528" i="17" s="1"/>
  <c r="I529" i="17"/>
  <c r="N529" i="17" s="1"/>
  <c r="J529" i="17"/>
  <c r="O529" i="17" s="1"/>
  <c r="I530" i="17"/>
  <c r="N530" i="17" s="1"/>
  <c r="J530" i="17"/>
  <c r="O530" i="17" s="1"/>
  <c r="I531" i="17"/>
  <c r="N531" i="17" s="1"/>
  <c r="J531" i="17"/>
  <c r="O531" i="17" s="1"/>
  <c r="I532" i="17"/>
  <c r="N532" i="17" s="1"/>
  <c r="J532" i="17"/>
  <c r="O532" i="17" s="1"/>
  <c r="I533" i="17"/>
  <c r="N533" i="17" s="1"/>
  <c r="J533" i="17"/>
  <c r="O533" i="17" s="1"/>
  <c r="I534" i="17"/>
  <c r="N534" i="17" s="1"/>
  <c r="J534" i="17"/>
  <c r="O534" i="17" s="1"/>
  <c r="I535" i="17"/>
  <c r="N535" i="17" s="1"/>
  <c r="J535" i="17"/>
  <c r="O535" i="17" s="1"/>
  <c r="I536" i="17"/>
  <c r="N536" i="17" s="1"/>
  <c r="J536" i="17"/>
  <c r="O536" i="17" s="1"/>
  <c r="I537" i="17"/>
  <c r="N537" i="17" s="1"/>
  <c r="J537" i="17"/>
  <c r="O537" i="17" s="1"/>
  <c r="I538" i="17"/>
  <c r="N538" i="17" s="1"/>
  <c r="J538" i="17"/>
  <c r="O538" i="17" s="1"/>
  <c r="I539" i="17"/>
  <c r="N539" i="17" s="1"/>
  <c r="J539" i="17"/>
  <c r="O539" i="17" s="1"/>
  <c r="I540" i="17"/>
  <c r="N540" i="17" s="1"/>
  <c r="J540" i="17"/>
  <c r="O540" i="17" s="1"/>
  <c r="I541" i="17"/>
  <c r="N541" i="17" s="1"/>
  <c r="J541" i="17"/>
  <c r="O541" i="17" s="1"/>
  <c r="I542" i="17"/>
  <c r="N542" i="17" s="1"/>
  <c r="J542" i="17"/>
  <c r="O542" i="17" s="1"/>
  <c r="I543" i="17"/>
  <c r="N543" i="17" s="1"/>
  <c r="J543" i="17"/>
  <c r="O543" i="17" s="1"/>
  <c r="I544" i="17"/>
  <c r="N544" i="17" s="1"/>
  <c r="J544" i="17"/>
  <c r="O544" i="17" s="1"/>
  <c r="I545" i="17"/>
  <c r="N545" i="17" s="1"/>
  <c r="J545" i="17"/>
  <c r="O545" i="17" s="1"/>
  <c r="I546" i="17"/>
  <c r="N546" i="17" s="1"/>
  <c r="J546" i="17"/>
  <c r="O546" i="17" s="1"/>
  <c r="I547" i="17"/>
  <c r="N547" i="17" s="1"/>
  <c r="J547" i="17"/>
  <c r="O547" i="17" s="1"/>
  <c r="I548" i="17"/>
  <c r="N548" i="17" s="1"/>
  <c r="J548" i="17"/>
  <c r="O548" i="17" s="1"/>
  <c r="I549" i="17"/>
  <c r="N549" i="17" s="1"/>
  <c r="J549" i="17"/>
  <c r="O549" i="17" s="1"/>
  <c r="I550" i="17"/>
  <c r="N550" i="17" s="1"/>
  <c r="J550" i="17"/>
  <c r="O550" i="17" s="1"/>
  <c r="I551" i="17"/>
  <c r="N551" i="17" s="1"/>
  <c r="J551" i="17"/>
  <c r="O551" i="17" s="1"/>
  <c r="I552" i="17"/>
  <c r="N552" i="17" s="1"/>
  <c r="J552" i="17"/>
  <c r="O552" i="17" s="1"/>
  <c r="I553" i="17"/>
  <c r="N553" i="17" s="1"/>
  <c r="J553" i="17"/>
  <c r="O553" i="17" s="1"/>
  <c r="I554" i="17"/>
  <c r="N554" i="17" s="1"/>
  <c r="J554" i="17"/>
  <c r="O554" i="17" s="1"/>
  <c r="I555" i="17"/>
  <c r="N555" i="17" s="1"/>
  <c r="J555" i="17"/>
  <c r="O555" i="17" s="1"/>
  <c r="I556" i="17"/>
  <c r="N556" i="17" s="1"/>
  <c r="J556" i="17"/>
  <c r="O556" i="17" s="1"/>
  <c r="I557" i="17"/>
  <c r="N557" i="17" s="1"/>
  <c r="J557" i="17"/>
  <c r="O557" i="17" s="1"/>
  <c r="I558" i="17"/>
  <c r="N558" i="17" s="1"/>
  <c r="J558" i="17"/>
  <c r="O558" i="17" s="1"/>
  <c r="I559" i="17"/>
  <c r="N559" i="17" s="1"/>
  <c r="J559" i="17"/>
  <c r="O559" i="17" s="1"/>
  <c r="I560" i="17"/>
  <c r="N560" i="17" s="1"/>
  <c r="J560" i="17"/>
  <c r="O560" i="17" s="1"/>
  <c r="I561" i="17"/>
  <c r="N561" i="17" s="1"/>
  <c r="J561" i="17"/>
  <c r="O561" i="17" s="1"/>
  <c r="I562" i="17"/>
  <c r="N562" i="17" s="1"/>
  <c r="J562" i="17"/>
  <c r="O562" i="17" s="1"/>
  <c r="I563" i="17"/>
  <c r="N563" i="17" s="1"/>
  <c r="J563" i="17"/>
  <c r="O563" i="17" s="1"/>
  <c r="I564" i="17"/>
  <c r="N564" i="17" s="1"/>
  <c r="J564" i="17"/>
  <c r="O564" i="17" s="1"/>
  <c r="I565" i="17"/>
  <c r="N565" i="17" s="1"/>
  <c r="J565" i="17"/>
  <c r="O565" i="17" s="1"/>
  <c r="I566" i="17"/>
  <c r="N566" i="17" s="1"/>
  <c r="J566" i="17"/>
  <c r="O566" i="17" s="1"/>
  <c r="I567" i="17"/>
  <c r="N567" i="17" s="1"/>
  <c r="J567" i="17"/>
  <c r="O567" i="17" s="1"/>
  <c r="I568" i="17"/>
  <c r="N568" i="17" s="1"/>
  <c r="J568" i="17"/>
  <c r="O568" i="17" s="1"/>
  <c r="I569" i="17"/>
  <c r="N569" i="17" s="1"/>
  <c r="J569" i="17"/>
  <c r="O569" i="17" s="1"/>
  <c r="I570" i="17"/>
  <c r="N570" i="17" s="1"/>
  <c r="J570" i="17"/>
  <c r="O570" i="17" s="1"/>
  <c r="I571" i="17"/>
  <c r="N571" i="17" s="1"/>
  <c r="J571" i="17"/>
  <c r="O571" i="17" s="1"/>
  <c r="I572" i="17"/>
  <c r="N572" i="17" s="1"/>
  <c r="J572" i="17"/>
  <c r="O572" i="17" s="1"/>
  <c r="I573" i="17"/>
  <c r="N573" i="17" s="1"/>
  <c r="J573" i="17"/>
  <c r="O573" i="17" s="1"/>
  <c r="I574" i="17"/>
  <c r="N574" i="17" s="1"/>
  <c r="J574" i="17"/>
  <c r="O574" i="17" s="1"/>
  <c r="I575" i="17"/>
  <c r="N575" i="17" s="1"/>
  <c r="J575" i="17"/>
  <c r="O575" i="17" s="1"/>
  <c r="I576" i="17"/>
  <c r="N576" i="17" s="1"/>
  <c r="J576" i="17"/>
  <c r="O576" i="17" s="1"/>
  <c r="I577" i="17"/>
  <c r="N577" i="17" s="1"/>
  <c r="J577" i="17"/>
  <c r="O577" i="17" s="1"/>
  <c r="I578" i="17"/>
  <c r="N578" i="17" s="1"/>
  <c r="J578" i="17"/>
  <c r="O578" i="17" s="1"/>
  <c r="I579" i="17"/>
  <c r="N579" i="17" s="1"/>
  <c r="J579" i="17"/>
  <c r="O579" i="17" s="1"/>
  <c r="I580" i="17"/>
  <c r="N580" i="17" s="1"/>
  <c r="J580" i="17"/>
  <c r="O580" i="17" s="1"/>
  <c r="I581" i="17"/>
  <c r="N581" i="17" s="1"/>
  <c r="J581" i="17"/>
  <c r="O581" i="17" s="1"/>
  <c r="I582" i="17"/>
  <c r="N582" i="17" s="1"/>
  <c r="J582" i="17"/>
  <c r="O582" i="17" s="1"/>
  <c r="I583" i="17"/>
  <c r="N583" i="17" s="1"/>
  <c r="J583" i="17"/>
  <c r="O583" i="17" s="1"/>
  <c r="I584" i="17"/>
  <c r="N584" i="17" s="1"/>
  <c r="J584" i="17"/>
  <c r="O584" i="17" s="1"/>
  <c r="I585" i="17"/>
  <c r="N585" i="17" s="1"/>
  <c r="J585" i="17"/>
  <c r="O585" i="17" s="1"/>
  <c r="I586" i="17"/>
  <c r="N586" i="17" s="1"/>
  <c r="J586" i="17"/>
  <c r="O586" i="17" s="1"/>
  <c r="I587" i="17"/>
  <c r="N587" i="17" s="1"/>
  <c r="J587" i="17"/>
  <c r="O587" i="17" s="1"/>
  <c r="I588" i="17"/>
  <c r="N588" i="17" s="1"/>
  <c r="J588" i="17"/>
  <c r="O588" i="17" s="1"/>
  <c r="I589" i="17"/>
  <c r="N589" i="17" s="1"/>
  <c r="J589" i="17"/>
  <c r="O589" i="17" s="1"/>
  <c r="I590" i="17"/>
  <c r="N590" i="17" s="1"/>
  <c r="J590" i="17"/>
  <c r="O590" i="17" s="1"/>
  <c r="I591" i="17"/>
  <c r="N591" i="17" s="1"/>
  <c r="J591" i="17"/>
  <c r="O591" i="17" s="1"/>
  <c r="I592" i="17"/>
  <c r="N592" i="17" s="1"/>
  <c r="J592" i="17"/>
  <c r="O592" i="17" s="1"/>
  <c r="I593" i="17"/>
  <c r="N593" i="17" s="1"/>
  <c r="J593" i="17"/>
  <c r="O593" i="17" s="1"/>
  <c r="I594" i="17"/>
  <c r="N594" i="17" s="1"/>
  <c r="J594" i="17"/>
  <c r="O594" i="17" s="1"/>
  <c r="I595" i="17"/>
  <c r="N595" i="17" s="1"/>
  <c r="J595" i="17"/>
  <c r="O595" i="17" s="1"/>
  <c r="I596" i="17"/>
  <c r="N596" i="17" s="1"/>
  <c r="J596" i="17"/>
  <c r="O596" i="17" s="1"/>
  <c r="I597" i="17"/>
  <c r="N597" i="17" s="1"/>
  <c r="J597" i="17"/>
  <c r="O597" i="17" s="1"/>
  <c r="I598" i="17"/>
  <c r="N598" i="17" s="1"/>
  <c r="J598" i="17"/>
  <c r="O598" i="17" s="1"/>
  <c r="I599" i="17"/>
  <c r="N599" i="17" s="1"/>
  <c r="J599" i="17"/>
  <c r="O599" i="17" s="1"/>
  <c r="I600" i="17"/>
  <c r="N600" i="17" s="1"/>
  <c r="J600" i="17"/>
  <c r="O600" i="17" s="1"/>
  <c r="I601" i="17"/>
  <c r="N601" i="17" s="1"/>
  <c r="J601" i="17"/>
  <c r="O601" i="17" s="1"/>
  <c r="I602" i="17"/>
  <c r="N602" i="17" s="1"/>
  <c r="J602" i="17"/>
  <c r="O602" i="17" s="1"/>
  <c r="I603" i="17"/>
  <c r="N603" i="17" s="1"/>
  <c r="J603" i="17"/>
  <c r="O603" i="17" s="1"/>
  <c r="I604" i="17"/>
  <c r="N604" i="17" s="1"/>
  <c r="J604" i="17"/>
  <c r="O604" i="17" s="1"/>
  <c r="I605" i="17"/>
  <c r="N605" i="17" s="1"/>
  <c r="J605" i="17"/>
  <c r="O605" i="17" s="1"/>
  <c r="I606" i="17"/>
  <c r="N606" i="17" s="1"/>
  <c r="J606" i="17"/>
  <c r="O606" i="17" s="1"/>
  <c r="I607" i="17"/>
  <c r="N607" i="17" s="1"/>
  <c r="J607" i="17"/>
  <c r="O607" i="17" s="1"/>
  <c r="I608" i="17"/>
  <c r="N608" i="17" s="1"/>
  <c r="J608" i="17"/>
  <c r="O608" i="17" s="1"/>
  <c r="I609" i="17"/>
  <c r="N609" i="17" s="1"/>
  <c r="J609" i="17"/>
  <c r="O609" i="17" s="1"/>
  <c r="I610" i="17"/>
  <c r="N610" i="17" s="1"/>
  <c r="J610" i="17"/>
  <c r="O610" i="17" s="1"/>
  <c r="I611" i="17"/>
  <c r="N611" i="17" s="1"/>
  <c r="J611" i="17"/>
  <c r="O611" i="17" s="1"/>
  <c r="I612" i="17"/>
  <c r="N612" i="17" s="1"/>
  <c r="J612" i="17"/>
  <c r="O612" i="17" s="1"/>
  <c r="I613" i="17"/>
  <c r="N613" i="17" s="1"/>
  <c r="J613" i="17"/>
  <c r="O613" i="17" s="1"/>
  <c r="I614" i="17"/>
  <c r="N614" i="17" s="1"/>
  <c r="J614" i="17"/>
  <c r="O614" i="17" s="1"/>
  <c r="I615" i="17"/>
  <c r="N615" i="17" s="1"/>
  <c r="J615" i="17"/>
  <c r="O615" i="17" s="1"/>
  <c r="I616" i="17"/>
  <c r="N616" i="17" s="1"/>
  <c r="J616" i="17"/>
  <c r="O616" i="17" s="1"/>
  <c r="I617" i="17"/>
  <c r="N617" i="17" s="1"/>
  <c r="J617" i="17"/>
  <c r="O617" i="17" s="1"/>
  <c r="I618" i="17"/>
  <c r="N618" i="17" s="1"/>
  <c r="J618" i="17"/>
  <c r="O618" i="17" s="1"/>
  <c r="I619" i="17"/>
  <c r="N619" i="17" s="1"/>
  <c r="J619" i="17"/>
  <c r="O619" i="17" s="1"/>
  <c r="I620" i="17"/>
  <c r="N620" i="17" s="1"/>
  <c r="J620" i="17"/>
  <c r="O620" i="17" s="1"/>
  <c r="I621" i="17"/>
  <c r="N621" i="17" s="1"/>
  <c r="J621" i="17"/>
  <c r="O621" i="17" s="1"/>
  <c r="I622" i="17"/>
  <c r="N622" i="17" s="1"/>
  <c r="J622" i="17"/>
  <c r="O622" i="17" s="1"/>
  <c r="I623" i="17"/>
  <c r="N623" i="17" s="1"/>
  <c r="J623" i="17"/>
  <c r="O623" i="17" s="1"/>
  <c r="I624" i="17"/>
  <c r="N624" i="17" s="1"/>
  <c r="J624" i="17"/>
  <c r="O624" i="17" s="1"/>
  <c r="I625" i="17"/>
  <c r="N625" i="17" s="1"/>
  <c r="J625" i="17"/>
  <c r="O625" i="17" s="1"/>
  <c r="I626" i="17"/>
  <c r="N626" i="17" s="1"/>
  <c r="J626" i="17"/>
  <c r="O626" i="17" s="1"/>
  <c r="I627" i="17"/>
  <c r="N627" i="17" s="1"/>
  <c r="J627" i="17"/>
  <c r="O627" i="17" s="1"/>
  <c r="I628" i="17"/>
  <c r="N628" i="17" s="1"/>
  <c r="J628" i="17"/>
  <c r="O628" i="17" s="1"/>
  <c r="I629" i="17"/>
  <c r="N629" i="17" s="1"/>
  <c r="J629" i="17"/>
  <c r="O629" i="17" s="1"/>
  <c r="I630" i="17"/>
  <c r="N630" i="17" s="1"/>
  <c r="J630" i="17"/>
  <c r="O630" i="17" s="1"/>
  <c r="I631" i="17"/>
  <c r="N631" i="17" s="1"/>
  <c r="J631" i="17"/>
  <c r="O631" i="17" s="1"/>
  <c r="I632" i="17"/>
  <c r="N632" i="17" s="1"/>
  <c r="J632" i="17"/>
  <c r="O632" i="17" s="1"/>
  <c r="I633" i="17"/>
  <c r="N633" i="17" s="1"/>
  <c r="J633" i="17"/>
  <c r="O633" i="17" s="1"/>
  <c r="I634" i="17"/>
  <c r="N634" i="17" s="1"/>
  <c r="J634" i="17"/>
  <c r="O634" i="17" s="1"/>
  <c r="I635" i="17"/>
  <c r="N635" i="17" s="1"/>
  <c r="J635" i="17"/>
  <c r="O635" i="17" s="1"/>
  <c r="I636" i="17"/>
  <c r="N636" i="17" s="1"/>
  <c r="J636" i="17"/>
  <c r="O636" i="17" s="1"/>
  <c r="I637" i="17"/>
  <c r="N637" i="17" s="1"/>
  <c r="J637" i="17"/>
  <c r="O637" i="17" s="1"/>
  <c r="I638" i="17"/>
  <c r="N638" i="17" s="1"/>
  <c r="J638" i="17"/>
  <c r="O638" i="17" s="1"/>
  <c r="I639" i="17"/>
  <c r="N639" i="17" s="1"/>
  <c r="J639" i="17"/>
  <c r="O639" i="17" s="1"/>
  <c r="I640" i="17"/>
  <c r="N640" i="17" s="1"/>
  <c r="J640" i="17"/>
  <c r="O640" i="17" s="1"/>
  <c r="I641" i="17"/>
  <c r="N641" i="17" s="1"/>
  <c r="J641" i="17"/>
  <c r="O641" i="17" s="1"/>
  <c r="I642" i="17"/>
  <c r="N642" i="17" s="1"/>
  <c r="J642" i="17"/>
  <c r="O642" i="17" s="1"/>
  <c r="I643" i="17"/>
  <c r="N643" i="17" s="1"/>
  <c r="J643" i="17"/>
  <c r="O643" i="17" s="1"/>
  <c r="I644" i="17"/>
  <c r="N644" i="17" s="1"/>
  <c r="J644" i="17"/>
  <c r="O644" i="17" s="1"/>
  <c r="I645" i="17"/>
  <c r="N645" i="17" s="1"/>
  <c r="J645" i="17"/>
  <c r="O645" i="17" s="1"/>
  <c r="I646" i="17"/>
  <c r="N646" i="17" s="1"/>
  <c r="J646" i="17"/>
  <c r="O646" i="17" s="1"/>
  <c r="I647" i="17"/>
  <c r="N647" i="17" s="1"/>
  <c r="J647" i="17"/>
  <c r="O647" i="17" s="1"/>
  <c r="I648" i="17"/>
  <c r="N648" i="17" s="1"/>
  <c r="J648" i="17"/>
  <c r="O648" i="17" s="1"/>
  <c r="I649" i="17"/>
  <c r="N649" i="17" s="1"/>
  <c r="J649" i="17"/>
  <c r="O649" i="17" s="1"/>
  <c r="I650" i="17"/>
  <c r="N650" i="17" s="1"/>
  <c r="J650" i="17"/>
  <c r="O650" i="17" s="1"/>
  <c r="I651" i="17"/>
  <c r="N651" i="17" s="1"/>
  <c r="J651" i="17"/>
  <c r="O651" i="17" s="1"/>
  <c r="I652" i="17"/>
  <c r="N652" i="17" s="1"/>
  <c r="J652" i="17"/>
  <c r="O652" i="17" s="1"/>
  <c r="I653" i="17"/>
  <c r="N653" i="17" s="1"/>
  <c r="J653" i="17"/>
  <c r="O653" i="17" s="1"/>
  <c r="I654" i="17"/>
  <c r="N654" i="17" s="1"/>
  <c r="J654" i="17"/>
  <c r="O654" i="17" s="1"/>
  <c r="I655" i="17"/>
  <c r="N655" i="17" s="1"/>
  <c r="J655" i="17"/>
  <c r="O655" i="17" s="1"/>
  <c r="I656" i="17"/>
  <c r="N656" i="17" s="1"/>
  <c r="J656" i="17"/>
  <c r="O656" i="17" s="1"/>
  <c r="I657" i="17"/>
  <c r="N657" i="17" s="1"/>
  <c r="J657" i="17"/>
  <c r="O657" i="17" s="1"/>
  <c r="I658" i="17"/>
  <c r="N658" i="17" s="1"/>
  <c r="J658" i="17"/>
  <c r="O658" i="17" s="1"/>
  <c r="I659" i="17"/>
  <c r="N659" i="17" s="1"/>
  <c r="J659" i="17"/>
  <c r="O659" i="17" s="1"/>
  <c r="I660" i="17"/>
  <c r="N660" i="17" s="1"/>
  <c r="J660" i="17"/>
  <c r="O660" i="17" s="1"/>
  <c r="I661" i="17"/>
  <c r="N661" i="17" s="1"/>
  <c r="J661" i="17"/>
  <c r="O661" i="17" s="1"/>
  <c r="I662" i="17"/>
  <c r="N662" i="17" s="1"/>
  <c r="J662" i="17"/>
  <c r="O662" i="17" s="1"/>
  <c r="I663" i="17"/>
  <c r="N663" i="17" s="1"/>
  <c r="J663" i="17"/>
  <c r="O663" i="17" s="1"/>
  <c r="I664" i="17"/>
  <c r="N664" i="17" s="1"/>
  <c r="J664" i="17"/>
  <c r="O664" i="17" s="1"/>
  <c r="I665" i="17"/>
  <c r="N665" i="17" s="1"/>
  <c r="J665" i="17"/>
  <c r="O665" i="17" s="1"/>
  <c r="I666" i="17"/>
  <c r="N666" i="17" s="1"/>
  <c r="J666" i="17"/>
  <c r="O666" i="17" s="1"/>
  <c r="I667" i="17"/>
  <c r="N667" i="17" s="1"/>
  <c r="J667" i="17"/>
  <c r="O667" i="17" s="1"/>
  <c r="I668" i="17"/>
  <c r="N668" i="17" s="1"/>
  <c r="J668" i="17"/>
  <c r="O668" i="17" s="1"/>
  <c r="I669" i="17"/>
  <c r="N669" i="17" s="1"/>
  <c r="J669" i="17"/>
  <c r="O669" i="17" s="1"/>
  <c r="I670" i="17"/>
  <c r="N670" i="17" s="1"/>
  <c r="J670" i="17"/>
  <c r="O670" i="17" s="1"/>
  <c r="I671" i="17"/>
  <c r="N671" i="17" s="1"/>
  <c r="J671" i="17"/>
  <c r="O671" i="17" s="1"/>
  <c r="I672" i="17"/>
  <c r="N672" i="17" s="1"/>
  <c r="J672" i="17"/>
  <c r="O672" i="17" s="1"/>
  <c r="I673" i="17"/>
  <c r="N673" i="17" s="1"/>
  <c r="J673" i="17"/>
  <c r="O673" i="17" s="1"/>
  <c r="I674" i="17"/>
  <c r="N674" i="17" s="1"/>
  <c r="J674" i="17"/>
  <c r="O674" i="17" s="1"/>
  <c r="I675" i="17"/>
  <c r="N675" i="17" s="1"/>
  <c r="J675" i="17"/>
  <c r="O675" i="17" s="1"/>
  <c r="I676" i="17"/>
  <c r="N676" i="17" s="1"/>
  <c r="J676" i="17"/>
  <c r="O676" i="17" s="1"/>
  <c r="I677" i="17"/>
  <c r="N677" i="17" s="1"/>
  <c r="J677" i="17"/>
  <c r="O677" i="17" s="1"/>
  <c r="I678" i="17"/>
  <c r="N678" i="17" s="1"/>
  <c r="J678" i="17"/>
  <c r="O678" i="17" s="1"/>
  <c r="I679" i="17"/>
  <c r="N679" i="17" s="1"/>
  <c r="J679" i="17"/>
  <c r="O679" i="17" s="1"/>
  <c r="I680" i="17"/>
  <c r="N680" i="17" s="1"/>
  <c r="J680" i="17"/>
  <c r="O680" i="17" s="1"/>
  <c r="I681" i="17"/>
  <c r="N681" i="17" s="1"/>
  <c r="J681" i="17"/>
  <c r="O681" i="17" s="1"/>
  <c r="I682" i="17"/>
  <c r="N682" i="17" s="1"/>
  <c r="J682" i="17"/>
  <c r="O682" i="17" s="1"/>
  <c r="I683" i="17"/>
  <c r="N683" i="17" s="1"/>
  <c r="J683" i="17"/>
  <c r="O683" i="17" s="1"/>
  <c r="I684" i="17"/>
  <c r="N684" i="17" s="1"/>
  <c r="J684" i="17"/>
  <c r="O684" i="17" s="1"/>
  <c r="I685" i="17"/>
  <c r="N685" i="17" s="1"/>
  <c r="J685" i="17"/>
  <c r="O685" i="17" s="1"/>
  <c r="I686" i="17"/>
  <c r="N686" i="17" s="1"/>
  <c r="J686" i="17"/>
  <c r="O686" i="17" s="1"/>
  <c r="I687" i="17"/>
  <c r="N687" i="17" s="1"/>
  <c r="J687" i="17"/>
  <c r="O687" i="17" s="1"/>
  <c r="I688" i="17"/>
  <c r="N688" i="17" s="1"/>
  <c r="J688" i="17"/>
  <c r="O688" i="17" s="1"/>
  <c r="I689" i="17"/>
  <c r="N689" i="17" s="1"/>
  <c r="J689" i="17"/>
  <c r="O689" i="17" s="1"/>
  <c r="I690" i="17"/>
  <c r="N690" i="17" s="1"/>
  <c r="J690" i="17"/>
  <c r="O690" i="17" s="1"/>
  <c r="I691" i="17"/>
  <c r="N691" i="17" s="1"/>
  <c r="J691" i="17"/>
  <c r="O691" i="17" s="1"/>
  <c r="I692" i="17"/>
  <c r="N692" i="17" s="1"/>
  <c r="J692" i="17"/>
  <c r="O692" i="17" s="1"/>
  <c r="I693" i="17"/>
  <c r="N693" i="17" s="1"/>
  <c r="J693" i="17"/>
  <c r="O693" i="17" s="1"/>
  <c r="I694" i="17"/>
  <c r="N694" i="17" s="1"/>
  <c r="J694" i="17"/>
  <c r="O694" i="17" s="1"/>
  <c r="I695" i="17"/>
  <c r="N695" i="17" s="1"/>
  <c r="J695" i="17"/>
  <c r="O695" i="17" s="1"/>
  <c r="I696" i="17"/>
  <c r="N696" i="17" s="1"/>
  <c r="J696" i="17"/>
  <c r="O696" i="17" s="1"/>
  <c r="I697" i="17"/>
  <c r="N697" i="17" s="1"/>
  <c r="J697" i="17"/>
  <c r="O697" i="17" s="1"/>
  <c r="I698" i="17"/>
  <c r="N698" i="17" s="1"/>
  <c r="J698" i="17"/>
  <c r="O698" i="17" s="1"/>
  <c r="I699" i="17"/>
  <c r="N699" i="17" s="1"/>
  <c r="J699" i="17"/>
  <c r="O699" i="17" s="1"/>
  <c r="I700" i="17"/>
  <c r="N700" i="17" s="1"/>
  <c r="J700" i="17"/>
  <c r="O700" i="17" s="1"/>
  <c r="I701" i="17"/>
  <c r="N701" i="17" s="1"/>
  <c r="J701" i="17"/>
  <c r="O701" i="17" s="1"/>
  <c r="I702" i="17"/>
  <c r="N702" i="17" s="1"/>
  <c r="J702" i="17"/>
  <c r="O702" i="17" s="1"/>
  <c r="I703" i="17"/>
  <c r="N703" i="17" s="1"/>
  <c r="J703" i="17"/>
  <c r="O703" i="17" s="1"/>
  <c r="I704" i="17"/>
  <c r="N704" i="17" s="1"/>
  <c r="J704" i="17"/>
  <c r="O704" i="17" s="1"/>
  <c r="I705" i="17"/>
  <c r="N705" i="17" s="1"/>
  <c r="J705" i="17"/>
  <c r="O705" i="17" s="1"/>
  <c r="I706" i="17"/>
  <c r="N706" i="17" s="1"/>
  <c r="J706" i="17"/>
  <c r="O706" i="17" s="1"/>
  <c r="I707" i="17"/>
  <c r="N707" i="17" s="1"/>
  <c r="J707" i="17"/>
  <c r="O707" i="17" s="1"/>
  <c r="I708" i="17"/>
  <c r="N708" i="17" s="1"/>
  <c r="J708" i="17"/>
  <c r="O708" i="17" s="1"/>
  <c r="I709" i="17"/>
  <c r="N709" i="17" s="1"/>
  <c r="J709" i="17"/>
  <c r="O709" i="17" s="1"/>
  <c r="I710" i="17"/>
  <c r="N710" i="17" s="1"/>
  <c r="J710" i="17"/>
  <c r="O710" i="17" s="1"/>
  <c r="I711" i="17"/>
  <c r="N711" i="17" s="1"/>
  <c r="J711" i="17"/>
  <c r="O711" i="17" s="1"/>
  <c r="I712" i="17"/>
  <c r="N712" i="17" s="1"/>
  <c r="J712" i="17"/>
  <c r="O712" i="17" s="1"/>
  <c r="I713" i="17"/>
  <c r="N713" i="17" s="1"/>
  <c r="J713" i="17"/>
  <c r="O713" i="17" s="1"/>
  <c r="I714" i="17"/>
  <c r="N714" i="17" s="1"/>
  <c r="J714" i="17"/>
  <c r="O714" i="17" s="1"/>
  <c r="I715" i="17"/>
  <c r="N715" i="17" s="1"/>
  <c r="J715" i="17"/>
  <c r="O715" i="17" s="1"/>
  <c r="I716" i="17"/>
  <c r="N716" i="17" s="1"/>
  <c r="J716" i="17"/>
  <c r="O716" i="17" s="1"/>
  <c r="I717" i="17"/>
  <c r="N717" i="17" s="1"/>
  <c r="J717" i="17"/>
  <c r="O717" i="17" s="1"/>
  <c r="I718" i="17"/>
  <c r="N718" i="17" s="1"/>
  <c r="J718" i="17"/>
  <c r="O718" i="17" s="1"/>
  <c r="I719" i="17"/>
  <c r="N719" i="17" s="1"/>
  <c r="J719" i="17"/>
  <c r="O719" i="17" s="1"/>
  <c r="I720" i="17"/>
  <c r="N720" i="17" s="1"/>
  <c r="J720" i="17"/>
  <c r="O720" i="17" s="1"/>
  <c r="I721" i="17"/>
  <c r="N721" i="17" s="1"/>
  <c r="J721" i="17"/>
  <c r="O721" i="17" s="1"/>
  <c r="I722" i="17"/>
  <c r="N722" i="17" s="1"/>
  <c r="J722" i="17"/>
  <c r="O722" i="17" s="1"/>
  <c r="I723" i="17"/>
  <c r="N723" i="17" s="1"/>
  <c r="J723" i="17"/>
  <c r="O723" i="17" s="1"/>
  <c r="I724" i="17"/>
  <c r="N724" i="17" s="1"/>
  <c r="J724" i="17"/>
  <c r="O724" i="17" s="1"/>
  <c r="I725" i="17"/>
  <c r="N725" i="17" s="1"/>
  <c r="J725" i="17"/>
  <c r="O725" i="17" s="1"/>
  <c r="I726" i="17"/>
  <c r="N726" i="17" s="1"/>
  <c r="J726" i="17"/>
  <c r="O726" i="17" s="1"/>
  <c r="I727" i="17"/>
  <c r="N727" i="17" s="1"/>
  <c r="J727" i="17"/>
  <c r="O727" i="17" s="1"/>
  <c r="I728" i="17"/>
  <c r="N728" i="17" s="1"/>
  <c r="J728" i="17"/>
  <c r="O728" i="17" s="1"/>
  <c r="I729" i="17"/>
  <c r="N729" i="17" s="1"/>
  <c r="J729" i="17"/>
  <c r="O729" i="17" s="1"/>
  <c r="I730" i="17"/>
  <c r="N730" i="17" s="1"/>
  <c r="J730" i="17"/>
  <c r="O730" i="17" s="1"/>
  <c r="I731" i="17"/>
  <c r="N731" i="17" s="1"/>
  <c r="J731" i="17"/>
  <c r="O731" i="17" s="1"/>
  <c r="I732" i="17"/>
  <c r="N732" i="17" s="1"/>
  <c r="J732" i="17"/>
  <c r="O732" i="17" s="1"/>
  <c r="I733" i="17"/>
  <c r="N733" i="17" s="1"/>
  <c r="J733" i="17"/>
  <c r="O733" i="17" s="1"/>
  <c r="I734" i="17"/>
  <c r="N734" i="17" s="1"/>
  <c r="J734" i="17"/>
  <c r="O734" i="17" s="1"/>
  <c r="I735" i="17"/>
  <c r="N735" i="17" s="1"/>
  <c r="J735" i="17"/>
  <c r="O735" i="17" s="1"/>
  <c r="I736" i="17"/>
  <c r="N736" i="17" s="1"/>
  <c r="J736" i="17"/>
  <c r="O736" i="17" s="1"/>
  <c r="I737" i="17"/>
  <c r="N737" i="17" s="1"/>
  <c r="J737" i="17"/>
  <c r="O737" i="17" s="1"/>
  <c r="I738" i="17"/>
  <c r="N738" i="17" s="1"/>
  <c r="J738" i="17"/>
  <c r="O738" i="17" s="1"/>
  <c r="I739" i="17"/>
  <c r="N739" i="17" s="1"/>
  <c r="J739" i="17"/>
  <c r="O739" i="17" s="1"/>
  <c r="I740" i="17"/>
  <c r="N740" i="17" s="1"/>
  <c r="J740" i="17"/>
  <c r="O740" i="17" s="1"/>
  <c r="I741" i="17"/>
  <c r="N741" i="17" s="1"/>
  <c r="J741" i="17"/>
  <c r="O741" i="17" s="1"/>
  <c r="I742" i="17"/>
  <c r="N742" i="17" s="1"/>
  <c r="J742" i="17"/>
  <c r="O742" i="17" s="1"/>
  <c r="I743" i="17"/>
  <c r="N743" i="17" s="1"/>
  <c r="J743" i="17"/>
  <c r="O743" i="17" s="1"/>
  <c r="I744" i="17"/>
  <c r="N744" i="17" s="1"/>
  <c r="J744" i="17"/>
  <c r="O744" i="17" s="1"/>
  <c r="I745" i="17"/>
  <c r="N745" i="17" s="1"/>
  <c r="J745" i="17"/>
  <c r="O745" i="17" s="1"/>
  <c r="I746" i="17"/>
  <c r="N746" i="17" s="1"/>
  <c r="J746" i="17"/>
  <c r="O746" i="17" s="1"/>
  <c r="I747" i="17"/>
  <c r="N747" i="17" s="1"/>
  <c r="J747" i="17"/>
  <c r="O747" i="17" s="1"/>
  <c r="I748" i="17"/>
  <c r="N748" i="17" s="1"/>
  <c r="J748" i="17"/>
  <c r="O748" i="17" s="1"/>
  <c r="I749" i="17"/>
  <c r="N749" i="17" s="1"/>
  <c r="J749" i="17"/>
  <c r="O749" i="17" s="1"/>
  <c r="I750" i="17"/>
  <c r="N750" i="17" s="1"/>
  <c r="J750" i="17"/>
  <c r="O750" i="17" s="1"/>
  <c r="I751" i="17"/>
  <c r="N751" i="17" s="1"/>
  <c r="J751" i="17"/>
  <c r="O751" i="17" s="1"/>
  <c r="I752" i="17"/>
  <c r="N752" i="17" s="1"/>
  <c r="J752" i="17"/>
  <c r="O752" i="17" s="1"/>
  <c r="I753" i="17"/>
  <c r="N753" i="17" s="1"/>
  <c r="J753" i="17"/>
  <c r="O753" i="17" s="1"/>
  <c r="I754" i="17"/>
  <c r="N754" i="17" s="1"/>
  <c r="J754" i="17"/>
  <c r="O754" i="17" s="1"/>
  <c r="I755" i="17"/>
  <c r="N755" i="17" s="1"/>
  <c r="J755" i="17"/>
  <c r="O755" i="17" s="1"/>
  <c r="I756" i="17"/>
  <c r="N756" i="17" s="1"/>
  <c r="J756" i="17"/>
  <c r="O756" i="17" s="1"/>
  <c r="I757" i="17"/>
  <c r="N757" i="17" s="1"/>
  <c r="J757" i="17"/>
  <c r="O757" i="17" s="1"/>
  <c r="I758" i="17"/>
  <c r="N758" i="17" s="1"/>
  <c r="J758" i="17"/>
  <c r="O758" i="17" s="1"/>
  <c r="I759" i="17"/>
  <c r="N759" i="17" s="1"/>
  <c r="J759" i="17"/>
  <c r="O759" i="17" s="1"/>
  <c r="I760" i="17"/>
  <c r="N760" i="17" s="1"/>
  <c r="J760" i="17"/>
  <c r="O760" i="17" s="1"/>
  <c r="I761" i="17"/>
  <c r="N761" i="17" s="1"/>
  <c r="J761" i="17"/>
  <c r="O761" i="17" s="1"/>
  <c r="I762" i="17"/>
  <c r="N762" i="17" s="1"/>
  <c r="J762" i="17"/>
  <c r="O762" i="17" s="1"/>
  <c r="I763" i="17"/>
  <c r="N763" i="17" s="1"/>
  <c r="J763" i="17"/>
  <c r="O763" i="17" s="1"/>
  <c r="I764" i="17"/>
  <c r="N764" i="17" s="1"/>
  <c r="J764" i="17"/>
  <c r="O764" i="17" s="1"/>
  <c r="I765" i="17"/>
  <c r="N765" i="17" s="1"/>
  <c r="J765" i="17"/>
  <c r="O765" i="17" s="1"/>
  <c r="I766" i="17"/>
  <c r="N766" i="17" s="1"/>
  <c r="J766" i="17"/>
  <c r="O766" i="17" s="1"/>
  <c r="I767" i="17"/>
  <c r="N767" i="17" s="1"/>
  <c r="J767" i="17"/>
  <c r="O767" i="17" s="1"/>
  <c r="I768" i="17"/>
  <c r="N768" i="17" s="1"/>
  <c r="J768" i="17"/>
  <c r="O768" i="17" s="1"/>
  <c r="I769" i="17"/>
  <c r="N769" i="17" s="1"/>
  <c r="J769" i="17"/>
  <c r="O769" i="17" s="1"/>
  <c r="I770" i="17"/>
  <c r="N770" i="17" s="1"/>
  <c r="J770" i="17"/>
  <c r="O770" i="17" s="1"/>
  <c r="I771" i="17"/>
  <c r="N771" i="17" s="1"/>
  <c r="J771" i="17"/>
  <c r="O771" i="17" s="1"/>
  <c r="I772" i="17"/>
  <c r="N772" i="17" s="1"/>
  <c r="J772" i="17"/>
  <c r="O772" i="17" s="1"/>
  <c r="I773" i="17"/>
  <c r="N773" i="17" s="1"/>
  <c r="J773" i="17"/>
  <c r="O773" i="17" s="1"/>
  <c r="I774" i="17"/>
  <c r="N774" i="17" s="1"/>
  <c r="J774" i="17"/>
  <c r="O774" i="17" s="1"/>
  <c r="I775" i="17"/>
  <c r="N775" i="17" s="1"/>
  <c r="J775" i="17"/>
  <c r="O775" i="17" s="1"/>
  <c r="I776" i="17"/>
  <c r="N776" i="17" s="1"/>
  <c r="J776" i="17"/>
  <c r="O776" i="17" s="1"/>
  <c r="I777" i="17"/>
  <c r="N777" i="17" s="1"/>
  <c r="J777" i="17"/>
  <c r="O777" i="17" s="1"/>
  <c r="I778" i="17"/>
  <c r="N778" i="17" s="1"/>
  <c r="J778" i="17"/>
  <c r="O778" i="17" s="1"/>
  <c r="I779" i="17"/>
  <c r="N779" i="17" s="1"/>
  <c r="J779" i="17"/>
  <c r="O779" i="17" s="1"/>
  <c r="I780" i="17"/>
  <c r="N780" i="17" s="1"/>
  <c r="J780" i="17"/>
  <c r="O780" i="17" s="1"/>
  <c r="I781" i="17"/>
  <c r="N781" i="17" s="1"/>
  <c r="J781" i="17"/>
  <c r="O781" i="17" s="1"/>
  <c r="I782" i="17"/>
  <c r="N782" i="17" s="1"/>
  <c r="J782" i="17"/>
  <c r="O782" i="17" s="1"/>
  <c r="I783" i="17"/>
  <c r="N783" i="17" s="1"/>
  <c r="J783" i="17"/>
  <c r="O783" i="17" s="1"/>
  <c r="I784" i="17"/>
  <c r="N784" i="17" s="1"/>
  <c r="J784" i="17"/>
  <c r="O784" i="17" s="1"/>
  <c r="I785" i="17"/>
  <c r="N785" i="17" s="1"/>
  <c r="J785" i="17"/>
  <c r="O785" i="17" s="1"/>
  <c r="I786" i="17"/>
  <c r="N786" i="17" s="1"/>
  <c r="J786" i="17"/>
  <c r="O786" i="17" s="1"/>
  <c r="I787" i="17"/>
  <c r="N787" i="17" s="1"/>
  <c r="J787" i="17"/>
  <c r="O787" i="17" s="1"/>
  <c r="I788" i="17"/>
  <c r="N788" i="17" s="1"/>
  <c r="J788" i="17"/>
  <c r="O788" i="17" s="1"/>
  <c r="I789" i="17"/>
  <c r="N789" i="17" s="1"/>
  <c r="J789" i="17"/>
  <c r="O789" i="17" s="1"/>
  <c r="I790" i="17"/>
  <c r="N790" i="17" s="1"/>
  <c r="J790" i="17"/>
  <c r="O790" i="17" s="1"/>
  <c r="I791" i="17"/>
  <c r="N791" i="17" s="1"/>
  <c r="J791" i="17"/>
  <c r="O791" i="17" s="1"/>
  <c r="I792" i="17"/>
  <c r="N792" i="17" s="1"/>
  <c r="J792" i="17"/>
  <c r="O792" i="17" s="1"/>
  <c r="I793" i="17"/>
  <c r="N793" i="17" s="1"/>
  <c r="J793" i="17"/>
  <c r="O793" i="17" s="1"/>
  <c r="I794" i="17"/>
  <c r="N794" i="17" s="1"/>
  <c r="J794" i="17"/>
  <c r="O794" i="17" s="1"/>
  <c r="I795" i="17"/>
  <c r="N795" i="17" s="1"/>
  <c r="J795" i="17"/>
  <c r="O795" i="17" s="1"/>
  <c r="I796" i="17"/>
  <c r="N796" i="17" s="1"/>
  <c r="J796" i="17"/>
  <c r="O796" i="17" s="1"/>
  <c r="I797" i="17"/>
  <c r="N797" i="17" s="1"/>
  <c r="J797" i="17"/>
  <c r="O797" i="17" s="1"/>
  <c r="I798" i="17"/>
  <c r="N798" i="17" s="1"/>
  <c r="J798" i="17"/>
  <c r="O798" i="17" s="1"/>
  <c r="I799" i="17"/>
  <c r="N799" i="17" s="1"/>
  <c r="J799" i="17"/>
  <c r="O799" i="17" s="1"/>
  <c r="I800" i="17"/>
  <c r="N800" i="17" s="1"/>
  <c r="J800" i="17"/>
  <c r="O800" i="17" s="1"/>
  <c r="I801" i="17"/>
  <c r="N801" i="17" s="1"/>
  <c r="J801" i="17"/>
  <c r="O801" i="17" s="1"/>
  <c r="I802" i="17"/>
  <c r="N802" i="17" s="1"/>
  <c r="J802" i="17"/>
  <c r="O802" i="17" s="1"/>
  <c r="I803" i="17"/>
  <c r="N803" i="17" s="1"/>
  <c r="J803" i="17"/>
  <c r="O803" i="17" s="1"/>
  <c r="I804" i="17"/>
  <c r="N804" i="17" s="1"/>
  <c r="J804" i="17"/>
  <c r="O804" i="17" s="1"/>
  <c r="I805" i="17"/>
  <c r="N805" i="17" s="1"/>
  <c r="J805" i="17"/>
  <c r="O805" i="17" s="1"/>
  <c r="I806" i="17"/>
  <c r="N806" i="17" s="1"/>
  <c r="J806" i="17"/>
  <c r="O806" i="17" s="1"/>
  <c r="I807" i="17"/>
  <c r="N807" i="17" s="1"/>
  <c r="J807" i="17"/>
  <c r="O807" i="17" s="1"/>
  <c r="I808" i="17"/>
  <c r="N808" i="17" s="1"/>
  <c r="J808" i="17"/>
  <c r="O808" i="17" s="1"/>
  <c r="I809" i="17"/>
  <c r="N809" i="17" s="1"/>
  <c r="J809" i="17"/>
  <c r="O809" i="17" s="1"/>
  <c r="I810" i="17"/>
  <c r="N810" i="17" s="1"/>
  <c r="J810" i="17"/>
  <c r="O810" i="17" s="1"/>
  <c r="I811" i="17"/>
  <c r="N811" i="17" s="1"/>
  <c r="J811" i="17"/>
  <c r="O811" i="17" s="1"/>
  <c r="I812" i="17"/>
  <c r="N812" i="17" s="1"/>
  <c r="J812" i="17"/>
  <c r="O812" i="17" s="1"/>
  <c r="I813" i="17"/>
  <c r="N813" i="17" s="1"/>
  <c r="J813" i="17"/>
  <c r="O813" i="17" s="1"/>
  <c r="I814" i="17"/>
  <c r="N814" i="17" s="1"/>
  <c r="J814" i="17"/>
  <c r="O814" i="17" s="1"/>
  <c r="I815" i="17"/>
  <c r="N815" i="17" s="1"/>
  <c r="J815" i="17"/>
  <c r="O815" i="17" s="1"/>
  <c r="I816" i="17"/>
  <c r="N816" i="17" s="1"/>
  <c r="J816" i="17"/>
  <c r="O816" i="17" s="1"/>
  <c r="I817" i="17"/>
  <c r="N817" i="17" s="1"/>
  <c r="J817" i="17"/>
  <c r="O817" i="17" s="1"/>
  <c r="I818" i="17"/>
  <c r="N818" i="17" s="1"/>
  <c r="J818" i="17"/>
  <c r="O818" i="17" s="1"/>
  <c r="I819" i="17"/>
  <c r="N819" i="17" s="1"/>
  <c r="J819" i="17"/>
  <c r="O819" i="17" s="1"/>
  <c r="I820" i="17"/>
  <c r="N820" i="17" s="1"/>
  <c r="J820" i="17"/>
  <c r="O820" i="17" s="1"/>
  <c r="I821" i="17"/>
  <c r="N821" i="17" s="1"/>
  <c r="J821" i="17"/>
  <c r="O821" i="17" s="1"/>
  <c r="I822" i="17"/>
  <c r="N822" i="17" s="1"/>
  <c r="J822" i="17"/>
  <c r="O822" i="17" s="1"/>
  <c r="I823" i="17"/>
  <c r="N823" i="17" s="1"/>
  <c r="J823" i="17"/>
  <c r="O823" i="17" s="1"/>
  <c r="I824" i="17"/>
  <c r="N824" i="17" s="1"/>
  <c r="J824" i="17"/>
  <c r="O824" i="17" s="1"/>
  <c r="I825" i="17"/>
  <c r="N825" i="17" s="1"/>
  <c r="J825" i="17"/>
  <c r="O825" i="17" s="1"/>
  <c r="I826" i="17"/>
  <c r="N826" i="17" s="1"/>
  <c r="J826" i="17"/>
  <c r="O826" i="17" s="1"/>
  <c r="I827" i="17"/>
  <c r="N827" i="17" s="1"/>
  <c r="J827" i="17"/>
  <c r="O827" i="17" s="1"/>
  <c r="I828" i="17"/>
  <c r="N828" i="17" s="1"/>
  <c r="J828" i="17"/>
  <c r="O828" i="17" s="1"/>
  <c r="I829" i="17"/>
  <c r="N829" i="17" s="1"/>
  <c r="J829" i="17"/>
  <c r="O829" i="17" s="1"/>
  <c r="I830" i="17"/>
  <c r="N830" i="17" s="1"/>
  <c r="J830" i="17"/>
  <c r="O830" i="17" s="1"/>
  <c r="I831" i="17"/>
  <c r="N831" i="17" s="1"/>
  <c r="J831" i="17"/>
  <c r="O831" i="17" s="1"/>
  <c r="I832" i="17"/>
  <c r="N832" i="17" s="1"/>
  <c r="J832" i="17"/>
  <c r="O832" i="17" s="1"/>
  <c r="I833" i="17"/>
  <c r="N833" i="17" s="1"/>
  <c r="J833" i="17"/>
  <c r="O833" i="17" s="1"/>
  <c r="I834" i="17"/>
  <c r="N834" i="17" s="1"/>
  <c r="J834" i="17"/>
  <c r="O834" i="17" s="1"/>
  <c r="I835" i="17"/>
  <c r="N835" i="17" s="1"/>
  <c r="J835" i="17"/>
  <c r="O835" i="17" s="1"/>
  <c r="I836" i="17"/>
  <c r="N836" i="17" s="1"/>
  <c r="J836" i="17"/>
  <c r="O836" i="17" s="1"/>
  <c r="I837" i="17"/>
  <c r="N837" i="17" s="1"/>
  <c r="J837" i="17"/>
  <c r="O837" i="17" s="1"/>
  <c r="I838" i="17"/>
  <c r="N838" i="17" s="1"/>
  <c r="J838" i="17"/>
  <c r="O838" i="17" s="1"/>
  <c r="I839" i="17"/>
  <c r="N839" i="17" s="1"/>
  <c r="J839" i="17"/>
  <c r="O839" i="17" s="1"/>
  <c r="I840" i="17"/>
  <c r="N840" i="17" s="1"/>
  <c r="J840" i="17"/>
  <c r="O840" i="17" s="1"/>
  <c r="I841" i="17"/>
  <c r="N841" i="17" s="1"/>
  <c r="J841" i="17"/>
  <c r="O841" i="17" s="1"/>
  <c r="I842" i="17"/>
  <c r="N842" i="17" s="1"/>
  <c r="J842" i="17"/>
  <c r="O842" i="17" s="1"/>
  <c r="I843" i="17"/>
  <c r="N843" i="17" s="1"/>
  <c r="J843" i="17"/>
  <c r="O843" i="17" s="1"/>
  <c r="I844" i="17"/>
  <c r="N844" i="17" s="1"/>
  <c r="J844" i="17"/>
  <c r="O844" i="17" s="1"/>
  <c r="I845" i="17"/>
  <c r="N845" i="17" s="1"/>
  <c r="J845" i="17"/>
  <c r="O845" i="17" s="1"/>
  <c r="I846" i="17"/>
  <c r="N846" i="17" s="1"/>
  <c r="J846" i="17"/>
  <c r="O846" i="17" s="1"/>
  <c r="I847" i="17"/>
  <c r="N847" i="17" s="1"/>
  <c r="J847" i="17"/>
  <c r="O847" i="17" s="1"/>
  <c r="I848" i="17"/>
  <c r="N848" i="17" s="1"/>
  <c r="J848" i="17"/>
  <c r="O848" i="17" s="1"/>
  <c r="I849" i="17"/>
  <c r="N849" i="17" s="1"/>
  <c r="J849" i="17"/>
  <c r="O849" i="17" s="1"/>
  <c r="I850" i="17"/>
  <c r="N850" i="17" s="1"/>
  <c r="J850" i="17"/>
  <c r="O850" i="17" s="1"/>
  <c r="I851" i="17"/>
  <c r="N851" i="17" s="1"/>
  <c r="J851" i="17"/>
  <c r="O851" i="17" s="1"/>
  <c r="I852" i="17"/>
  <c r="N852" i="17" s="1"/>
  <c r="J852" i="17"/>
  <c r="O852" i="17" s="1"/>
  <c r="I853" i="17"/>
  <c r="N853" i="17" s="1"/>
  <c r="J853" i="17"/>
  <c r="O853" i="17" s="1"/>
  <c r="I854" i="17"/>
  <c r="N854" i="17" s="1"/>
  <c r="J854" i="17"/>
  <c r="O854" i="17" s="1"/>
  <c r="I855" i="17"/>
  <c r="N855" i="17" s="1"/>
  <c r="J855" i="17"/>
  <c r="O855" i="17" s="1"/>
  <c r="I856" i="17"/>
  <c r="N856" i="17" s="1"/>
  <c r="J856" i="17"/>
  <c r="O856" i="17" s="1"/>
  <c r="I857" i="17"/>
  <c r="N857" i="17" s="1"/>
  <c r="J857" i="17"/>
  <c r="O857" i="17" s="1"/>
  <c r="I858" i="17"/>
  <c r="N858" i="17" s="1"/>
  <c r="J858" i="17"/>
  <c r="O858" i="17" s="1"/>
  <c r="I859" i="17"/>
  <c r="N859" i="17" s="1"/>
  <c r="J859" i="17"/>
  <c r="O859" i="17" s="1"/>
  <c r="I860" i="17"/>
  <c r="N860" i="17" s="1"/>
  <c r="J860" i="17"/>
  <c r="O860" i="17" s="1"/>
  <c r="I861" i="17"/>
  <c r="N861" i="17" s="1"/>
  <c r="J861" i="17"/>
  <c r="O861" i="17" s="1"/>
  <c r="I862" i="17"/>
  <c r="N862" i="17" s="1"/>
  <c r="J862" i="17"/>
  <c r="O862" i="17" s="1"/>
  <c r="I863" i="17"/>
  <c r="N863" i="17" s="1"/>
  <c r="J863" i="17"/>
  <c r="O863" i="17" s="1"/>
  <c r="I864" i="17"/>
  <c r="N864" i="17" s="1"/>
  <c r="J864" i="17"/>
  <c r="O864" i="17" s="1"/>
  <c r="I865" i="17"/>
  <c r="N865" i="17" s="1"/>
  <c r="J865" i="17"/>
  <c r="O865" i="17" s="1"/>
  <c r="I866" i="17"/>
  <c r="N866" i="17" s="1"/>
  <c r="J866" i="17"/>
  <c r="O866" i="17" s="1"/>
  <c r="I867" i="17"/>
  <c r="N867" i="17" s="1"/>
  <c r="J867" i="17"/>
  <c r="O867" i="17" s="1"/>
  <c r="I868" i="17"/>
  <c r="N868" i="17" s="1"/>
  <c r="J868" i="17"/>
  <c r="O868" i="17" s="1"/>
  <c r="I869" i="17"/>
  <c r="N869" i="17" s="1"/>
  <c r="J869" i="17"/>
  <c r="O869" i="17" s="1"/>
  <c r="I870" i="17"/>
  <c r="N870" i="17" s="1"/>
  <c r="J870" i="17"/>
  <c r="O870" i="17" s="1"/>
  <c r="I871" i="17"/>
  <c r="N871" i="17" s="1"/>
  <c r="J871" i="17"/>
  <c r="O871" i="17" s="1"/>
  <c r="I872" i="17"/>
  <c r="N872" i="17" s="1"/>
  <c r="J872" i="17"/>
  <c r="O872" i="17" s="1"/>
  <c r="I873" i="17"/>
  <c r="N873" i="17" s="1"/>
  <c r="J873" i="17"/>
  <c r="O873" i="17" s="1"/>
  <c r="I874" i="17"/>
  <c r="N874" i="17" s="1"/>
  <c r="J874" i="17"/>
  <c r="O874" i="17" s="1"/>
  <c r="I875" i="17"/>
  <c r="N875" i="17" s="1"/>
  <c r="J875" i="17"/>
  <c r="O875" i="17" s="1"/>
  <c r="I876" i="17"/>
  <c r="N876" i="17" s="1"/>
  <c r="J876" i="17"/>
  <c r="O876" i="17" s="1"/>
  <c r="I877" i="17"/>
  <c r="N877" i="17" s="1"/>
  <c r="J877" i="17"/>
  <c r="O877" i="17" s="1"/>
  <c r="I878" i="17"/>
  <c r="N878" i="17" s="1"/>
  <c r="J878" i="17"/>
  <c r="O878" i="17" s="1"/>
  <c r="I879" i="17"/>
  <c r="N879" i="17" s="1"/>
  <c r="J879" i="17"/>
  <c r="O879" i="17" s="1"/>
  <c r="I880" i="17"/>
  <c r="N880" i="17" s="1"/>
  <c r="J880" i="17"/>
  <c r="O880" i="17" s="1"/>
  <c r="I881" i="17"/>
  <c r="N881" i="17" s="1"/>
  <c r="J881" i="17"/>
  <c r="O881" i="17" s="1"/>
  <c r="I882" i="17"/>
  <c r="N882" i="17" s="1"/>
  <c r="J882" i="17"/>
  <c r="O882" i="17" s="1"/>
  <c r="I883" i="17"/>
  <c r="N883" i="17" s="1"/>
  <c r="J883" i="17"/>
  <c r="O883" i="17" s="1"/>
  <c r="I884" i="17"/>
  <c r="N884" i="17" s="1"/>
  <c r="J884" i="17"/>
  <c r="O884" i="17" s="1"/>
  <c r="I885" i="17"/>
  <c r="N885" i="17" s="1"/>
  <c r="J885" i="17"/>
  <c r="O885" i="17" s="1"/>
  <c r="I886" i="17"/>
  <c r="N886" i="17" s="1"/>
  <c r="J886" i="17"/>
  <c r="O886" i="17" s="1"/>
  <c r="I887" i="17"/>
  <c r="N887" i="17" s="1"/>
  <c r="J887" i="17"/>
  <c r="O887" i="17" s="1"/>
  <c r="I888" i="17"/>
  <c r="N888" i="17" s="1"/>
  <c r="J888" i="17"/>
  <c r="O888" i="17" s="1"/>
  <c r="I889" i="17"/>
  <c r="N889" i="17" s="1"/>
  <c r="J889" i="17"/>
  <c r="O889" i="17" s="1"/>
  <c r="I890" i="17"/>
  <c r="N890" i="17" s="1"/>
  <c r="J890" i="17"/>
  <c r="O890" i="17" s="1"/>
  <c r="I891" i="17"/>
  <c r="N891" i="17" s="1"/>
  <c r="J891" i="17"/>
  <c r="O891" i="17" s="1"/>
  <c r="I892" i="17"/>
  <c r="N892" i="17" s="1"/>
  <c r="J892" i="17"/>
  <c r="O892" i="17" s="1"/>
  <c r="I893" i="17"/>
  <c r="N893" i="17" s="1"/>
  <c r="J893" i="17"/>
  <c r="O893" i="17" s="1"/>
  <c r="I894" i="17"/>
  <c r="N894" i="17" s="1"/>
  <c r="J894" i="17"/>
  <c r="O894" i="17" s="1"/>
  <c r="I895" i="17"/>
  <c r="N895" i="17" s="1"/>
  <c r="J895" i="17"/>
  <c r="O895" i="17" s="1"/>
  <c r="I896" i="17"/>
  <c r="N896" i="17" s="1"/>
  <c r="J896" i="17"/>
  <c r="O896" i="17" s="1"/>
  <c r="I897" i="17"/>
  <c r="N897" i="17" s="1"/>
  <c r="J897" i="17"/>
  <c r="O897" i="17" s="1"/>
  <c r="I898" i="17"/>
  <c r="N898" i="17" s="1"/>
  <c r="J898" i="17"/>
  <c r="O898" i="17" s="1"/>
  <c r="I899" i="17"/>
  <c r="N899" i="17" s="1"/>
  <c r="J899" i="17"/>
  <c r="O899" i="17" s="1"/>
  <c r="I900" i="17"/>
  <c r="N900" i="17" s="1"/>
  <c r="J900" i="17"/>
  <c r="O900" i="17" s="1"/>
  <c r="I901" i="17"/>
  <c r="N901" i="17" s="1"/>
  <c r="J901" i="17"/>
  <c r="O901" i="17" s="1"/>
  <c r="I902" i="17"/>
  <c r="N902" i="17" s="1"/>
  <c r="J902" i="17"/>
  <c r="O902" i="17" s="1"/>
  <c r="I903" i="17"/>
  <c r="N903" i="17" s="1"/>
  <c r="J903" i="17"/>
  <c r="O903" i="17" s="1"/>
  <c r="I904" i="17"/>
  <c r="N904" i="17" s="1"/>
  <c r="J904" i="17"/>
  <c r="O904" i="17" s="1"/>
  <c r="I905" i="17"/>
  <c r="N905" i="17" s="1"/>
  <c r="J905" i="17"/>
  <c r="O905" i="17" s="1"/>
  <c r="I906" i="17"/>
  <c r="N906" i="17" s="1"/>
  <c r="J906" i="17"/>
  <c r="O906" i="17" s="1"/>
  <c r="I907" i="17"/>
  <c r="N907" i="17" s="1"/>
  <c r="J907" i="17"/>
  <c r="O907" i="17" s="1"/>
  <c r="I908" i="17"/>
  <c r="N908" i="17" s="1"/>
  <c r="J908" i="17"/>
  <c r="O908" i="17" s="1"/>
  <c r="I909" i="17"/>
  <c r="N909" i="17" s="1"/>
  <c r="J909" i="17"/>
  <c r="O909" i="17" s="1"/>
  <c r="I910" i="17"/>
  <c r="N910" i="17" s="1"/>
  <c r="J910" i="17"/>
  <c r="O910" i="17" s="1"/>
  <c r="I911" i="17"/>
  <c r="N911" i="17" s="1"/>
  <c r="J911" i="17"/>
  <c r="O911" i="17" s="1"/>
  <c r="I912" i="17"/>
  <c r="N912" i="17" s="1"/>
  <c r="J912" i="17"/>
  <c r="O912" i="17" s="1"/>
  <c r="I913" i="17"/>
  <c r="N913" i="17" s="1"/>
  <c r="J913" i="17"/>
  <c r="O913" i="17" s="1"/>
  <c r="I914" i="17"/>
  <c r="N914" i="17" s="1"/>
  <c r="J914" i="17"/>
  <c r="O914" i="17" s="1"/>
  <c r="I915" i="17"/>
  <c r="N915" i="17" s="1"/>
  <c r="J915" i="17"/>
  <c r="O915" i="17" s="1"/>
  <c r="I916" i="17"/>
  <c r="N916" i="17" s="1"/>
  <c r="J916" i="17"/>
  <c r="O916" i="17" s="1"/>
  <c r="I917" i="17"/>
  <c r="N917" i="17" s="1"/>
  <c r="J917" i="17"/>
  <c r="O917" i="17" s="1"/>
  <c r="I918" i="17"/>
  <c r="N918" i="17" s="1"/>
  <c r="J918" i="17"/>
  <c r="O918" i="17" s="1"/>
  <c r="I919" i="17"/>
  <c r="N919" i="17" s="1"/>
  <c r="J919" i="17"/>
  <c r="O919" i="17" s="1"/>
  <c r="I920" i="17"/>
  <c r="N920" i="17" s="1"/>
  <c r="J920" i="17"/>
  <c r="O920" i="17" s="1"/>
  <c r="I921" i="17"/>
  <c r="N921" i="17" s="1"/>
  <c r="J921" i="17"/>
  <c r="O921" i="17" s="1"/>
  <c r="I922" i="17"/>
  <c r="N922" i="17" s="1"/>
  <c r="J922" i="17"/>
  <c r="O922" i="17" s="1"/>
  <c r="I923" i="17"/>
  <c r="N923" i="17" s="1"/>
  <c r="J923" i="17"/>
  <c r="O923" i="17" s="1"/>
  <c r="I924" i="17"/>
  <c r="N924" i="17" s="1"/>
  <c r="J924" i="17"/>
  <c r="O924" i="17" s="1"/>
  <c r="I925" i="17"/>
  <c r="N925" i="17" s="1"/>
  <c r="J925" i="17"/>
  <c r="O925" i="17" s="1"/>
  <c r="I926" i="17"/>
  <c r="N926" i="17" s="1"/>
  <c r="J926" i="17"/>
  <c r="O926" i="17" s="1"/>
  <c r="I927" i="17"/>
  <c r="N927" i="17" s="1"/>
  <c r="J927" i="17"/>
  <c r="O927" i="17" s="1"/>
  <c r="I928" i="17"/>
  <c r="N928" i="17" s="1"/>
  <c r="J928" i="17"/>
  <c r="O928" i="17" s="1"/>
  <c r="I929" i="17"/>
  <c r="N929" i="17" s="1"/>
  <c r="J929" i="17"/>
  <c r="O929" i="17" s="1"/>
  <c r="I930" i="17"/>
  <c r="N930" i="17" s="1"/>
  <c r="J930" i="17"/>
  <c r="O930" i="17" s="1"/>
  <c r="I931" i="17"/>
  <c r="N931" i="17" s="1"/>
  <c r="J931" i="17"/>
  <c r="O931" i="17" s="1"/>
  <c r="I932" i="17"/>
  <c r="N932" i="17" s="1"/>
  <c r="J932" i="17"/>
  <c r="O932" i="17" s="1"/>
  <c r="I933" i="17"/>
  <c r="N933" i="17" s="1"/>
  <c r="J933" i="17"/>
  <c r="O933" i="17" s="1"/>
  <c r="I934" i="17"/>
  <c r="N934" i="17" s="1"/>
  <c r="J934" i="17"/>
  <c r="O934" i="17" s="1"/>
  <c r="I935" i="17"/>
  <c r="N935" i="17" s="1"/>
  <c r="J935" i="17"/>
  <c r="O935" i="17" s="1"/>
  <c r="I936" i="17"/>
  <c r="N936" i="17" s="1"/>
  <c r="J936" i="17"/>
  <c r="O936" i="17" s="1"/>
  <c r="I937" i="17"/>
  <c r="N937" i="17" s="1"/>
  <c r="J937" i="17"/>
  <c r="O937" i="17" s="1"/>
  <c r="I938" i="17"/>
  <c r="N938" i="17" s="1"/>
  <c r="J938" i="17"/>
  <c r="O938" i="17" s="1"/>
  <c r="I939" i="17"/>
  <c r="N939" i="17" s="1"/>
  <c r="J939" i="17"/>
  <c r="O939" i="17" s="1"/>
  <c r="I940" i="17"/>
  <c r="N940" i="17" s="1"/>
  <c r="J940" i="17"/>
  <c r="O940" i="17" s="1"/>
  <c r="I941" i="17"/>
  <c r="N941" i="17" s="1"/>
  <c r="J941" i="17"/>
  <c r="O941" i="17" s="1"/>
  <c r="I942" i="17"/>
  <c r="N942" i="17" s="1"/>
  <c r="J942" i="17"/>
  <c r="O942" i="17" s="1"/>
  <c r="I943" i="17"/>
  <c r="N943" i="17" s="1"/>
  <c r="J943" i="17"/>
  <c r="O943" i="17" s="1"/>
  <c r="I944" i="17"/>
  <c r="N944" i="17" s="1"/>
  <c r="J944" i="17"/>
  <c r="O944" i="17" s="1"/>
  <c r="I945" i="17"/>
  <c r="N945" i="17" s="1"/>
  <c r="J945" i="17"/>
  <c r="O945" i="17" s="1"/>
  <c r="I946" i="17"/>
  <c r="N946" i="17" s="1"/>
  <c r="J946" i="17"/>
  <c r="O946" i="17" s="1"/>
  <c r="I947" i="17"/>
  <c r="N947" i="17" s="1"/>
  <c r="J947" i="17"/>
  <c r="O947" i="17" s="1"/>
  <c r="I948" i="17"/>
  <c r="N948" i="17" s="1"/>
  <c r="J948" i="17"/>
  <c r="O948" i="17" s="1"/>
  <c r="I949" i="17"/>
  <c r="N949" i="17" s="1"/>
  <c r="J949" i="17"/>
  <c r="O949" i="17" s="1"/>
  <c r="I950" i="17"/>
  <c r="N950" i="17" s="1"/>
  <c r="J950" i="17"/>
  <c r="O950" i="17" s="1"/>
  <c r="I951" i="17"/>
  <c r="N951" i="17" s="1"/>
  <c r="J951" i="17"/>
  <c r="O951" i="17" s="1"/>
  <c r="I952" i="17"/>
  <c r="N952" i="17" s="1"/>
  <c r="J952" i="17"/>
  <c r="O952" i="17" s="1"/>
  <c r="I953" i="17"/>
  <c r="N953" i="17" s="1"/>
  <c r="J953" i="17"/>
  <c r="O953" i="17" s="1"/>
  <c r="I954" i="17"/>
  <c r="N954" i="17" s="1"/>
  <c r="J954" i="17"/>
  <c r="O954" i="17" s="1"/>
  <c r="I955" i="17"/>
  <c r="N955" i="17" s="1"/>
  <c r="J955" i="17"/>
  <c r="O955" i="17" s="1"/>
  <c r="I956" i="17"/>
  <c r="N956" i="17" s="1"/>
  <c r="J956" i="17"/>
  <c r="O956" i="17" s="1"/>
  <c r="I957" i="17"/>
  <c r="N957" i="17" s="1"/>
  <c r="J957" i="17"/>
  <c r="O957" i="17" s="1"/>
  <c r="I958" i="17"/>
  <c r="N958" i="17" s="1"/>
  <c r="J958" i="17"/>
  <c r="O958" i="17" s="1"/>
  <c r="I959" i="17"/>
  <c r="N959" i="17" s="1"/>
  <c r="J959" i="17"/>
  <c r="O959" i="17" s="1"/>
  <c r="I960" i="17"/>
  <c r="N960" i="17" s="1"/>
  <c r="J960" i="17"/>
  <c r="O960" i="17" s="1"/>
  <c r="I961" i="17"/>
  <c r="N961" i="17" s="1"/>
  <c r="J961" i="17"/>
  <c r="O961" i="17" s="1"/>
  <c r="I962" i="17"/>
  <c r="N962" i="17" s="1"/>
  <c r="J962" i="17"/>
  <c r="O962" i="17" s="1"/>
  <c r="I963" i="17"/>
  <c r="N963" i="17" s="1"/>
  <c r="J963" i="17"/>
  <c r="O963" i="17" s="1"/>
  <c r="I964" i="17"/>
  <c r="N964" i="17" s="1"/>
  <c r="J964" i="17"/>
  <c r="O964" i="17" s="1"/>
  <c r="I965" i="17"/>
  <c r="N965" i="17" s="1"/>
  <c r="J965" i="17"/>
  <c r="O965" i="17" s="1"/>
  <c r="I966" i="17"/>
  <c r="N966" i="17" s="1"/>
  <c r="J966" i="17"/>
  <c r="O966" i="17" s="1"/>
  <c r="I967" i="17"/>
  <c r="N967" i="17" s="1"/>
  <c r="J967" i="17"/>
  <c r="O967" i="17" s="1"/>
  <c r="I968" i="17"/>
  <c r="N968" i="17" s="1"/>
  <c r="J968" i="17"/>
  <c r="O968" i="17" s="1"/>
  <c r="I969" i="17"/>
  <c r="N969" i="17" s="1"/>
  <c r="J969" i="17"/>
  <c r="O969" i="17" s="1"/>
  <c r="I970" i="17"/>
  <c r="N970" i="17" s="1"/>
  <c r="J970" i="17"/>
  <c r="O970" i="17" s="1"/>
  <c r="I971" i="17"/>
  <c r="N971" i="17" s="1"/>
  <c r="J971" i="17"/>
  <c r="O971" i="17" s="1"/>
  <c r="I972" i="17"/>
  <c r="N972" i="17" s="1"/>
  <c r="J972" i="17"/>
  <c r="O972" i="17" s="1"/>
  <c r="I973" i="17"/>
  <c r="N973" i="17" s="1"/>
  <c r="J973" i="17"/>
  <c r="O973" i="17" s="1"/>
  <c r="I974" i="17"/>
  <c r="N974" i="17" s="1"/>
  <c r="J974" i="17"/>
  <c r="O974" i="17" s="1"/>
  <c r="I975" i="17"/>
  <c r="N975" i="17" s="1"/>
  <c r="J975" i="17"/>
  <c r="O975" i="17" s="1"/>
  <c r="I976" i="17"/>
  <c r="N976" i="17" s="1"/>
  <c r="J976" i="17"/>
  <c r="O976" i="17" s="1"/>
  <c r="I977" i="17"/>
  <c r="N977" i="17" s="1"/>
  <c r="J977" i="17"/>
  <c r="O977" i="17" s="1"/>
  <c r="I978" i="17"/>
  <c r="N978" i="17" s="1"/>
  <c r="J978" i="17"/>
  <c r="O978" i="17" s="1"/>
  <c r="I979" i="17"/>
  <c r="N979" i="17" s="1"/>
  <c r="J979" i="17"/>
  <c r="O979" i="17" s="1"/>
  <c r="I980" i="17"/>
  <c r="N980" i="17" s="1"/>
  <c r="J980" i="17"/>
  <c r="O980" i="17" s="1"/>
  <c r="I981" i="17"/>
  <c r="N981" i="17" s="1"/>
  <c r="J981" i="17"/>
  <c r="O981" i="17" s="1"/>
  <c r="I982" i="17"/>
  <c r="N982" i="17" s="1"/>
  <c r="J982" i="17"/>
  <c r="O982" i="17" s="1"/>
  <c r="I983" i="17"/>
  <c r="N983" i="17" s="1"/>
  <c r="J983" i="17"/>
  <c r="O983" i="17" s="1"/>
  <c r="I984" i="17"/>
  <c r="N984" i="17" s="1"/>
  <c r="J984" i="17"/>
  <c r="O984" i="17" s="1"/>
  <c r="I985" i="17"/>
  <c r="N985" i="17" s="1"/>
  <c r="J985" i="17"/>
  <c r="O985" i="17" s="1"/>
  <c r="I986" i="17"/>
  <c r="N986" i="17" s="1"/>
  <c r="J986" i="17"/>
  <c r="O986" i="17" s="1"/>
  <c r="I987" i="17"/>
  <c r="N987" i="17" s="1"/>
  <c r="J987" i="17"/>
  <c r="O987" i="17" s="1"/>
  <c r="I988" i="17"/>
  <c r="N988" i="17" s="1"/>
  <c r="J988" i="17"/>
  <c r="O988" i="17" s="1"/>
  <c r="I989" i="17"/>
  <c r="N989" i="17" s="1"/>
  <c r="J989" i="17"/>
  <c r="O989" i="17" s="1"/>
  <c r="I990" i="17"/>
  <c r="N990" i="17" s="1"/>
  <c r="J990" i="17"/>
  <c r="O990" i="17" s="1"/>
  <c r="I991" i="17"/>
  <c r="N991" i="17" s="1"/>
  <c r="J991" i="17"/>
  <c r="O991" i="17" s="1"/>
  <c r="I992" i="17"/>
  <c r="N992" i="17" s="1"/>
  <c r="J992" i="17"/>
  <c r="O992" i="17" s="1"/>
  <c r="I993" i="17"/>
  <c r="N993" i="17" s="1"/>
  <c r="J993" i="17"/>
  <c r="O993" i="17" s="1"/>
  <c r="I994" i="17"/>
  <c r="N994" i="17" s="1"/>
  <c r="J994" i="17"/>
  <c r="O994" i="17" s="1"/>
  <c r="I995" i="17"/>
  <c r="N995" i="17" s="1"/>
  <c r="J995" i="17"/>
  <c r="O995" i="17" s="1"/>
  <c r="I996" i="17"/>
  <c r="N996" i="17" s="1"/>
  <c r="J996" i="17"/>
  <c r="O996" i="17" s="1"/>
  <c r="I997" i="17"/>
  <c r="N997" i="17" s="1"/>
  <c r="J997" i="17"/>
  <c r="O997" i="17" s="1"/>
  <c r="I998" i="17"/>
  <c r="N998" i="17" s="1"/>
  <c r="J998" i="17"/>
  <c r="O998" i="17" s="1"/>
  <c r="I999" i="17"/>
  <c r="N999" i="17" s="1"/>
  <c r="J999" i="17"/>
  <c r="O999" i="17" s="1"/>
  <c r="I1000" i="17"/>
  <c r="N1000" i="17" s="1"/>
  <c r="J1000" i="17"/>
  <c r="O1000" i="17" s="1"/>
  <c r="I1001" i="17"/>
  <c r="N1001" i="17" s="1"/>
  <c r="J1001" i="17"/>
  <c r="O1001" i="17" s="1"/>
  <c r="J2" i="17"/>
  <c r="O2" i="17" s="1"/>
  <c r="L2" i="17"/>
  <c r="M2" i="17" s="1"/>
  <c r="I2" i="17"/>
  <c r="N2" i="17" s="1"/>
  <c r="O244"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<sst xmlns="http://schemas.openxmlformats.org/spreadsheetml/2006/main" count="11137" uniqueCount="6224">
  <si>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</si>
  <si>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</si>
  <si>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</si>
  <si>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</si>
  <si>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</si>
  <si>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</si>
  <si>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</si>
  <si>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</si>
  <si>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</si>
  <si>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</si>
  <si>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</si>
  <si>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</si>
  <si>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</si>
  <si>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</si>
  <si>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</si>
  <si>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</si>
  <si>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</si>
  <si>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</si>
  <si>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</si>
  <si>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</si>
  <si>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</si>
  <si>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</si>
  <si>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</si>
  <si>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</si>
  <si>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</si>
  <si>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</si>
  <si>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</si>
  <si>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</si>
  <si>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</si>
  <si>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</si>
  <si>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</si>
  <si>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</si>
  <si>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</si>
  <si>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</si>
  <si>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</si>
  <si>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</si>
  <si>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</si>
  <si>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</si>
  <si>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</si>
  <si>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</si>
  <si>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</si>
  <si>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</si>
  <si>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</si>
  <si>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</si>
  <si>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</si>
  <si>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</si>
  <si>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</si>
  <si>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</si>
  <si>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</si>
  <si>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</si>
  <si>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</si>
  <si>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</si>
  <si>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</si>
  <si>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</si>
  <si>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</si>
  <si>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</si>
  <si>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</si>
  <si>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</si>
  <si>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</si>
  <si>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</si>
  <si>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</si>
  <si>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</si>
  <si>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</si>
  <si>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</si>
  <si>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</si>
  <si>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</si>
  <si>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</si>
  <si>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</si>
  <si>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</si>
  <si>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</si>
  <si>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</si>
  <si>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</si>
  <si>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</si>
  <si>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</si>
  <si>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</si>
  <si>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</si>
  <si>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</si>
  <si>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</si>
  <si>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</si>
  <si>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</si>
  <si>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</si>
  <si>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</si>
  <si>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</si>
  <si>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</si>
  <si>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</si>
  <si>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</si>
  <si>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</si>
  <si>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</si>
  <si>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</si>
  <si>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</si>
  <si>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</si>
  <si>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</si>
  <si>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</si>
  <si>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</si>
  <si>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</si>
  <si>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</si>
  <si>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</si>
  <si>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</si>
  <si>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</si>
  <si>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</si>
  <si>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</si>
  <si>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</si>
  <si>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</si>
  <si>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</si>
  <si>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</si>
  <si>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</si>
  <si>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</si>
  <si>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</si>
  <si>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</si>
  <si>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</si>
  <si>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</si>
  <si>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</si>
  <si>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</si>
  <si>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</si>
  <si>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</si>
  <si>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</si>
  <si>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</si>
  <si>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</si>
  <si>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</si>
  <si>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</si>
  <si>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</si>
  <si>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</si>
  <si>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</si>
  <si>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</si>
  <si>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</si>
  <si>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</si>
  <si>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</si>
  <si>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</si>
  <si>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</si>
  <si>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</si>
  <si>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</si>
  <si>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</si>
  <si>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</si>
  <si>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</si>
  <si>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</si>
  <si>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</si>
  <si>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</si>
  <si>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</si>
  <si>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</si>
  <si>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</si>
  <si>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</si>
  <si>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</si>
  <si>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</si>
  <si>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</si>
  <si>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</si>
  <si>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</si>
  <si>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</si>
  <si>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</si>
  <si>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</si>
  <si>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</si>
  <si>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</si>
  <si>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</si>
  <si>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</si>
  <si>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</si>
  <si>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</si>
  <si>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</si>
  <si>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</si>
  <si>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</si>
  <si>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</si>
  <si>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</si>
  <si>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</si>
  <si>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</si>
  <si>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</si>
  <si>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</si>
  <si>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</si>
  <si>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</si>
  <si>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</si>
  <si>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</si>
  <si>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</si>
  <si>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</si>
  <si>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</si>
  <si>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</si>
  <si>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</si>
  <si>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</si>
  <si>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</si>
  <si>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</si>
  <si>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</si>
  <si>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</si>
  <si>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</si>
  <si>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</si>
  <si>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</si>
  <si>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</si>
  <si>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</si>
  <si>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</si>
  <si>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</si>
  <si>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</si>
  <si>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</si>
  <si>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</si>
  <si>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</si>
  <si>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</si>
  <si>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</si>
  <si>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</si>
  <si>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</si>
  <si>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</si>
  <si>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</si>
  <si>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</si>
  <si>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</si>
  <si>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</si>
  <si>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</si>
  <si>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</si>
  <si>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</si>
  <si>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</si>
  <si>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</si>
  <si>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</si>
  <si>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</si>
  <si>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</si>
  <si>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</si>
  <si>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</si>
  <si>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</si>
  <si>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</si>
  <si>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</si>
  <si>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</si>
  <si>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</si>
  <si>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</si>
  <si>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</si>
  <si>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</si>
  <si>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</si>
  <si>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</si>
  <si>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</si>
  <si>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</si>
  <si>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</si>
  <si>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</si>
  <si>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</si>
  <si>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</si>
  <si>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</si>
  <si>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</si>
  <si>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</si>
  <si>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</si>
  <si>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</si>
  <si>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</si>
  <si>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</si>
  <si>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</si>
  <si>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</si>
  <si>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</si>
  <si>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</si>
  <si>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</si>
  <si>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</si>
  <si>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</si>
  <si>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</si>
  <si>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</si>
  <si>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</si>
  <si>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</si>
  <si>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</si>
  <si>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</si>
  <si>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</si>
  <si>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</si>
  <si>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</si>
  <si>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</si>
  <si>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</si>
  <si>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</si>
  <si>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</si>
  <si>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</si>
  <si>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</si>
  <si>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</si>
  <si>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</si>
  <si>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</si>
  <si>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</si>
  <si>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</si>
  <si>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</si>
  <si>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</si>
  <si>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</si>
  <si>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</si>
  <si>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</si>
  <si>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</si>
  <si>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</si>
  <si>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</si>
  <si>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</si>
  <si>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</si>
  <si>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</si>
  <si>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</si>
  <si>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</si>
  <si>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</si>
  <si>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</si>
  <si>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</si>
  <si>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</si>
  <si>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</si>
  <si>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</si>
  <si>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</si>
  <si>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</si>
  <si>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</si>
  <si>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</si>
  <si>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</si>
  <si>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</si>
  <si>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</si>
  <si>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</si>
  <si>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</si>
  <si>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</si>
  <si>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</si>
  <si>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</si>
  <si>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</si>
  <si>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</si>
  <si>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</si>
  <si>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</si>
  <si>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</si>
  <si>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</si>
  <si>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</si>
  <si>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</si>
  <si>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</si>
  <si>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</si>
  <si>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</si>
  <si>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</si>
  <si>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</si>
  <si>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</si>
  <si>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</si>
  <si>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</si>
  <si>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</si>
  <si>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</si>
  <si>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</si>
  <si>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</si>
  <si>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</si>
  <si>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</si>
  <si>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</si>
  <si>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</si>
  <si>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</si>
  <si>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</si>
  <si>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</si>
  <si>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</si>
  <si>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</si>
  <si>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</si>
  <si>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</si>
  <si>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</si>
  <si>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</si>
  <si>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</si>
  <si>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</si>
  <si>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</si>
  <si>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</si>
  <si>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</si>
  <si>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</si>
  <si>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</si>
  <si>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</si>
  <si>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</si>
  <si>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</si>
  <si>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</si>
  <si>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</si>
  <si>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</si>
  <si>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</si>
  <si>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</si>
  <si>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</si>
  <si>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</si>
  <si>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</si>
  <si>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</si>
  <si>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</si>
  <si>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</si>
  <si>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</si>
  <si>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</si>
  <si>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</si>
  <si>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</si>
  <si>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</si>
  <si>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</si>
  <si>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</si>
  <si>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</si>
  <si>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</si>
  <si>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</si>
  <si>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</si>
  <si>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</si>
  <si>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</si>
  <si>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</si>
  <si>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</si>
  <si>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</si>
  <si>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</si>
  <si>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</si>
  <si>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</si>
  <si>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</si>
  <si>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</si>
  <si>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</si>
  <si>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</si>
  <si>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</si>
  <si>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</si>
  <si>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</si>
  <si>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</si>
  <si>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</si>
  <si>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</si>
  <si>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</si>
  <si>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</si>
  <si>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</si>
  <si>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</si>
  <si>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</si>
  <si>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</si>
  <si>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</si>
  <si>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</si>
  <si>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</si>
  <si>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</si>
  <si>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</si>
  <si>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</si>
  <si>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</si>
  <si>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</si>
  <si>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</si>
  <si>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</si>
  <si>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</si>
  <si>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</si>
  <si>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</si>
  <si>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</si>
  <si>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</si>
  <si>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</si>
  <si>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</si>
  <si>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</si>
  <si>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</si>
  <si>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</si>
  <si>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</si>
  <si>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</si>
  <si>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</si>
  <si>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</si>
  <si>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</si>
  <si>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</si>
  <si>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</si>
  <si>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</si>
  <si>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</si>
  <si>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</si>
  <si>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</si>
  <si>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</si>
  <si>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</si>
  <si>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</si>
  <si>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</si>
  <si>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</si>
  <si>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</si>
  <si>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</si>
  <si>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</si>
  <si>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</si>
  <si>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</si>
  <si>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</si>
  <si>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</si>
  <si>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</si>
  <si>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</si>
  <si>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</si>
  <si>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</si>
  <si>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</si>
  <si>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</si>
  <si>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</si>
  <si>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</si>
  <si>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</si>
  <si>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</si>
  <si>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</si>
  <si>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</si>
  <si>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</si>
  <si>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</si>
  <si>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</si>
  <si>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</si>
  <si>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</si>
  <si>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</si>
  <si>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</si>
  <si>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</si>
  <si>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</si>
  <si>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</si>
  <si>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</si>
  <si>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</si>
  <si>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</si>
  <si>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</si>
  <si>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</si>
  <si>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</si>
  <si>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</si>
  <si>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</si>
  <si>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</si>
  <si>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</si>
  <si>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</si>
  <si>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</si>
  <si>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</si>
  <si>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</si>
  <si>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</si>
  <si>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</si>
  <si>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</si>
  <si>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</si>
  <si>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</si>
  <si>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</si>
  <si>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</si>
  <si>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</si>
  <si>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</si>
  <si>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</si>
  <si>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</si>
  <si>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</si>
  <si>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</si>
  <si>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</si>
  <si>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</si>
  <si>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</si>
  <si>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</si>
  <si>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</si>
  <si>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</si>
  <si>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</si>
  <si>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</si>
  <si>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</si>
  <si>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</si>
  <si>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</si>
  <si>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</si>
  <si>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</si>
  <si>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</si>
  <si>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</si>
  <si>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</si>
  <si>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</si>
  <si>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</si>
  <si>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</si>
  <si>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</si>
  <si>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</si>
  <si>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</si>
  <si>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</si>
  <si>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</si>
  <si>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</si>
  <si>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</si>
  <si>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</si>
  <si>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</si>
  <si>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</si>
  <si>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</si>
  <si>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</si>
  <si>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</si>
  <si>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</si>
  <si>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</si>
  <si>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</si>
  <si>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</si>
  <si>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</si>
  <si>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</si>
  <si>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</si>
  <si>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</si>
  <si>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</si>
  <si>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</si>
  <si>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</si>
  <si>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</si>
  <si>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</si>
  <si>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</si>
  <si>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</si>
  <si>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</si>
  <si>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</si>
  <si>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</si>
  <si>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</si>
  <si>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</si>
  <si>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</si>
  <si>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</si>
  <si>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</si>
  <si>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</si>
  <si>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</si>
  <si>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</si>
  <si>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</si>
  <si>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</si>
  <si>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</si>
  <si>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</si>
  <si>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</si>
  <si>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</si>
  <si>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</si>
  <si>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</si>
  <si>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</si>
  <si>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</si>
  <si>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</si>
  <si>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</si>
  <si>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</si>
  <si>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</si>
  <si>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</si>
  <si>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</si>
  <si>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</si>
  <si>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</si>
  <si>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</si>
  <si>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</si>
  <si>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</si>
  <si>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</si>
  <si>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</si>
  <si>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</si>
  <si>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</si>
  <si>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</si>
  <si>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</si>
  <si>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</si>
  <si>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</si>
  <si>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</si>
  <si>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</si>
  <si>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</si>
  <si>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</si>
  <si>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</si>
  <si>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</si>
  <si>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</si>
  <si>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</si>
  <si>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</si>
  <si>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</si>
  <si>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</si>
  <si>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</si>
  <si>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</si>
  <si>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</si>
  <si>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</si>
  <si>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</si>
  <si>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</si>
  <si>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</si>
  <si>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</si>
  <si>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</si>
  <si>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</si>
  <si>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</si>
  <si>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</si>
  <si>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</si>
  <si>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</si>
  <si>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</si>
  <si>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</si>
  <si>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</si>
  <si>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</si>
  <si>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</si>
  <si>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</si>
  <si>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</si>
  <si>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</si>
  <si>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</si>
  <si>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</si>
  <si>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</si>
  <si>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</si>
  <si>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</si>
  <si>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</si>
  <si>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</si>
  <si>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</si>
  <si>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</si>
  <si>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</si>
  <si>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</si>
  <si>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</si>
  <si>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</si>
  <si>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</si>
  <si>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</si>
  <si>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</si>
  <si>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</si>
  <si>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</si>
  <si>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</si>
  <si>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</si>
  <si>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</si>
  <si>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</si>
  <si>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</si>
  <si>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</si>
  <si>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</si>
  <si>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</si>
  <si>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</si>
  <si>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</si>
  <si>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</si>
  <si>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</si>
  <si>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</si>
  <si>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</si>
  <si>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</si>
  <si>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</si>
  <si>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</si>
  <si>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</si>
  <si>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</si>
  <si>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</si>
  <si>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</si>
  <si>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</si>
  <si>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</si>
  <si>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</si>
  <si>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</si>
  <si>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</si>
  <si>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</si>
  <si>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</si>
  <si>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</si>
  <si>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</si>
  <si>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</si>
  <si>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</si>
  <si>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</si>
  <si>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</si>
  <si>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</si>
  <si>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</si>
  <si>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</si>
  <si>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</si>
  <si>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</si>
  <si>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</si>
  <si>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</si>
  <si>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</si>
  <si>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</si>
  <si>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</si>
  <si>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</si>
  <si>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</si>
  <si>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</si>
  <si>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</si>
  <si>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</si>
  <si>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</si>
  <si>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</si>
  <si>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</si>
  <si>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</si>
  <si>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</si>
  <si>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</si>
  <si>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</si>
  <si>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</si>
  <si>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</si>
  <si>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</si>
  <si>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</si>
  <si>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</si>
  <si>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</si>
  <si>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</si>
  <si>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</si>
  <si>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</si>
  <si>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</si>
  <si>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</si>
  <si>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</si>
  <si>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</si>
  <si>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</si>
  <si>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</si>
  <si>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</si>
  <si>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</si>
  <si>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</si>
  <si>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</si>
  <si>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</si>
  <si>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</si>
  <si>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</si>
  <si>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</si>
  <si>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</si>
  <si>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</si>
  <si>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</si>
  <si>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</si>
  <si>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</si>
  <si>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</si>
  <si>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</si>
  <si>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</si>
  <si>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</si>
  <si>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</si>
  <si>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</si>
  <si>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</si>
  <si>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</si>
  <si>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</si>
  <si>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</si>
  <si>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</si>
  <si>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</si>
  <si>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</si>
  <si>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</si>
  <si>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</si>
  <si>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</si>
  <si>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</si>
  <si>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</si>
  <si>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</si>
  <si>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</si>
  <si>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</si>
  <si>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</si>
  <si>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</si>
  <si>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</si>
  <si>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</si>
  <si>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</si>
  <si>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</si>
  <si>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</si>
  <si>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</si>
  <si>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</si>
  <si>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</si>
  <si>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</si>
  <si>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</si>
  <si>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</si>
  <si>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</si>
  <si>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</si>
  <si>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</si>
  <si>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</si>
  <si>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</si>
  <si>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</si>
  <si>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</si>
  <si>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</si>
  <si>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</si>
  <si>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</si>
  <si>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</si>
  <si>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</si>
  <si>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</si>
  <si>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</si>
  <si>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</si>
  <si>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</si>
  <si>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</si>
  <si>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</si>
  <si>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</si>
  <si>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</si>
  <si>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</si>
  <si>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</si>
  <si>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</si>
  <si>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</si>
  <si>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</si>
  <si>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</si>
  <si>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</si>
  <si>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</si>
  <si>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</si>
  <si>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</si>
  <si>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</si>
  <si>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</si>
  <si>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</si>
  <si>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</si>
  <si>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</si>
  <si>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</si>
  <si>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</si>
  <si>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</si>
  <si>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</si>
  <si>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</si>
  <si>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</si>
  <si>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</si>
  <si>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</si>
  <si>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</si>
  <si>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</si>
  <si>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</si>
  <si>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</si>
  <si>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</si>
  <si>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</si>
  <si>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</si>
  <si>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</si>
  <si>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</si>
  <si>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</si>
  <si>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</si>
  <si>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</si>
  <si>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</si>
  <si>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</si>
  <si>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</si>
  <si>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</si>
  <si>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</si>
  <si>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</si>
  <si>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</si>
  <si>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</si>
  <si>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</si>
  <si>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</si>
  <si>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</si>
  <si>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</si>
  <si>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</si>
  <si>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</si>
  <si>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</si>
  <si>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</si>
  <si>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</si>
  <si>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</si>
  <si>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</si>
  <si>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</si>
  <si>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</si>
  <si>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</si>
  <si>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</si>
  <si>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</si>
  <si>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</si>
  <si>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</si>
  <si>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</si>
  <si>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</si>
  <si>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</si>
  <si>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</si>
  <si>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</si>
  <si>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</si>
  <si>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</si>
  <si>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</si>
  <si>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</si>
  <si>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</si>
  <si>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</si>
  <si>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</si>
  <si>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</si>
  <si>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</si>
  <si>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</si>
  <si>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</si>
  <si>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</si>
  <si>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</si>
  <si>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</si>
  <si>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</si>
  <si>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</si>
  <si>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</si>
  <si>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</si>
  <si>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</si>
  <si>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</si>
  <si>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</si>
  <si>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</si>
  <si>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</si>
  <si>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</si>
  <si>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</si>
  <si>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</si>
  <si>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</si>
  <si>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</si>
  <si>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</si>
  <si>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</si>
  <si>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</si>
  <si>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</si>
  <si>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</si>
  <si>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</si>
  <si>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</si>
  <si>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</si>
  <si>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</si>
  <si>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</si>
  <si>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</si>
  <si>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</si>
  <si>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</si>
  <si>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</si>
  <si>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</si>
  <si>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</si>
  <si>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</si>
  <si>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</si>
  <si>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</si>
  <si>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</si>
  <si>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</si>
  <si>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</si>
  <si>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</si>
  <si>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</si>
  <si>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</si>
  <si>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</si>
  <si>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</si>
  <si>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</si>
  <si>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</si>
  <si>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</si>
  <si>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</si>
  <si>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</si>
  <si>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</si>
  <si>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</si>
  <si>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</si>
  <si>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</si>
  <si>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</si>
  <si>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</si>
  <si>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</si>
  <si>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</si>
  <si>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</si>
  <si>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</si>
  <si>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</si>
  <si>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</si>
  <si>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</si>
  <si>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</si>
  <si>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</si>
  <si>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</si>
  <si>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</si>
  <si>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</si>
  <si>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</si>
  <si>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</si>
  <si>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</si>
  <si>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</si>
  <si>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</si>
  <si>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</si>
  <si>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</si>
  <si>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</si>
  <si>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</si>
  <si>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</si>
  <si>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</si>
  <si>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</si>
  <si>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</si>
  <si>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</si>
  <si>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</si>
  <si>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</si>
  <si>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</si>
  <si>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</si>
  <si>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</si>
  <si>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</si>
  <si>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</si>
  <si>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</si>
  <si>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</si>
  <si>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</si>
  <si>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</si>
  <si>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</si>
  <si>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</si>
  <si>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</si>
  <si>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</si>
  <si>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</si>
  <si>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</si>
  <si>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</si>
  <si>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</si>
  <si>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</si>
  <si>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</si>
  <si>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</si>
  <si>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</si>
  <si>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</si>
  <si>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</si>
  <si>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</si>
  <si>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</si>
  <si>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</si>
  <si>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</si>
  <si>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</si>
  <si>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</si>
  <si>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</si>
  <si>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</si>
  <si>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</si>
  <si>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</si>
  <si>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</si>
  <si>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</si>
  <si>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</si>
  <si>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</si>
  <si>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</si>
  <si>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</si>
  <si>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</si>
  <si>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</si>
  <si>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</si>
  <si>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</si>
  <si>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</si>
  <si>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</si>
  <si>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</si>
  <si>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</si>
  <si>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</si>
  <si>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</si>
  <si>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</si>
  <si>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</si>
  <si>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</si>
  <si>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</si>
  <si>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</si>
  <si>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</si>
  <si>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</si>
  <si>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</si>
  <si>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</si>
  <si>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</si>
  <si>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</si>
  <si>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</si>
  <si>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</si>
  <si>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</si>
  <si>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</si>
  <si>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</si>
  <si>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</si>
  <si>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</si>
  <si>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</si>
  <si>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</si>
  <si>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</si>
  <si>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</si>
  <si>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</si>
  <si>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</si>
  <si>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</si>
  <si>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</si>
  <si>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</si>
  <si>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</si>
  <si>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</si>
  <si>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</si>
  <si>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</si>
  <si>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</si>
  <si>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</si>
  <si>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</si>
  <si>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</si>
  <si>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</si>
  <si>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</si>
  <si>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</si>
  <si>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</si>
  <si>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</si>
  <si>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</si>
  <si>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</si>
  <si>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</si>
  <si>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</si>
  <si>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</si>
  <si>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</si>
  <si>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</si>
  <si>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</si>
  <si>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</si>
  <si>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</si>
  <si>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</si>
  <si>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</si>
  <si>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</si>
  <si>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</si>
  <si>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</si>
  <si>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</si>
  <si>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</si>
  <si>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</si>
  <si>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</si>
  <si>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</si>
  <si>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</si>
  <si>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</si>
  <si>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</si>
  <si>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</si>
  <si>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</si>
  <si>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</si>
  <si>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</si>
  <si>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</si>
  <si>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</si>
  <si>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</si>
  <si>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</si>
  <si>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</si>
  <si>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</si>
  <si>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</si>
  <si>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</si>
  <si>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</si>
  <si>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</si>
  <si>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</si>
  <si>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</si>
  <si>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</si>
  <si>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</si>
  <si>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</si>
  <si>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</si>
  <si>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</si>
  <si>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</si>
  <si>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</si>
  <si>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</si>
  <si>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</si>
  <si>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</si>
  <si>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</si>
  <si>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</si>
  <si>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</si>
  <si>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</si>
  <si>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</si>
  <si>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</si>
  <si>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</si>
  <si>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</si>
  <si>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</si>
  <si>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</si>
  <si>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</si>
  <si>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</si>
  <si>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</si>
  <si>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</si>
  <si>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</si>
  <si>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</si>
  <si>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</si>
  <si>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</si>
  <si>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</si>
  <si>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</si>
  <si>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</si>
  <si>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</si>
  <si>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</si>
  <si>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</si>
  <si>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</si>
  <si>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</si>
  <si>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</si>
  <si>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</si>
  <si>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</si>
  <si>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</si>
  <si>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</si>
  <si>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</si>
  <si>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</si>
  <si>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</si>
  <si>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</si>
  <si>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</si>
  <si>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</si>
  <si>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</si>
  <si>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</si>
  <si>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</si>
  <si>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</si>
  <si>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</si>
  <si>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</si>
  <si>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</si>
  <si>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</si>
  <si>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</si>
  <si>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</si>
  <si>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</si>
  <si>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</si>
  <si>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</si>
  <si>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</si>
  <si>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</si>
  <si>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</si>
  <si>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</si>
  <si>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</si>
  <si>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</si>
  <si>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</si>
  <si>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</si>
  <si>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</si>
  <si>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</si>
  <si>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</si>
  <si>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</si>
  <si>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</si>
  <si>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</si>
  <si>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</si>
  <si>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</si>
  <si>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</si>
  <si>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</si>
  <si>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</si>
  <si>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</si>
  <si>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</si>
  <si>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</si>
  <si>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</si>
  <si>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</si>
  <si>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</si>
  <si>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</si>
  <si>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</si>
  <si>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</si>
  <si>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</si>
  <si>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</si>
  <si>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</si>
  <si>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</si>
  <si>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</si>
  <si>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</si>
  <si>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</si>
  <si>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</si>
  <si>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</si>
  <si>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</si>
  <si>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</si>
  <si>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</si>
  <si>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</si>
  <si>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</si>
  <si>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</si>
  <si>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</si>
  <si>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</si>
  <si>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</si>
  <si>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</si>
  <si>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</si>
  <si>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</si>
  <si>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</si>
  <si>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</si>
  <si>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</si>
  <si>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</si>
  <si>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</si>
  <si>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</si>
  <si>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</si>
  <si>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</si>
  <si>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</si>
  <si>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</si>
  <si>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</si>
  <si>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</si>
  <si>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</si>
  <si>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</si>
  <si>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</si>
  <si>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</si>
  <si>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</si>
  <si>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</si>
  <si>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</si>
  <si>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</si>
  <si>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</si>
  <si>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</si>
  <si>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</si>
  <si>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</si>
  <si>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</si>
  <si>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</si>
  <si>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</si>
  <si>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</si>
  <si>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</si>
  <si>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</si>
  <si>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</si>
  <si>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</si>
  <si>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</si>
  <si>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</si>
  <si>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</si>
  <si>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</si>
  <si>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</si>
  <si>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</si>
  <si>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</si>
  <si>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</si>
  <si>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</si>
  <si>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</si>
  <si>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</si>
  <si>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</si>
  <si>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</si>
  <si>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</si>
  <si>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</si>
  <si>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</si>
  <si>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</si>
  <si>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</si>
  <si>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</si>
  <si>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</si>
  <si>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</si>
  <si>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</si>
  <si>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</si>
  <si>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</si>
  <si>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</si>
  <si>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</si>
  <si>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</si>
  <si>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</si>
  <si>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</si>
  <si>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</si>
  <si>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</si>
  <si>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</si>
  <si>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</si>
  <si>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</si>
  <si>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</si>
  <si>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</si>
  <si>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</si>
  <si>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</si>
  <si>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</si>
  <si>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</si>
  <si>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</si>
  <si>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</si>
  <si>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</si>
  <si>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</si>
  <si>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</si>
  <si>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</si>
  <si>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</si>
  <si>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</si>
  <si>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</si>
  <si>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</si>
  <si>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</si>
  <si>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</si>
  <si>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</si>
  <si>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</si>
  <si>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</si>
  <si>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</si>
  <si>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</si>
  <si>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</si>
  <si>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</si>
  <si>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</si>
  <si>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</si>
  <si>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</si>
  <si>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</si>
  <si>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</si>
  <si>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</si>
  <si>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</si>
  <si>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</si>
  <si>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</si>
  <si>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</si>
  <si>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</si>
  <si>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</si>
  <si>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</si>
  <si>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</si>
  <si>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</si>
  <si>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</si>
  <si>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</si>
  <si>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</si>
  <si>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</si>
  <si>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</si>
  <si>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</si>
  <si>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</si>
  <si>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</si>
  <si>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</si>
  <si>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</si>
  <si>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</si>
  <si>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</si>
  <si>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</si>
  <si>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</si>
  <si>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</si>
  <si>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</si>
  <si>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</si>
  <si>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</si>
  <si>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</si>
  <si>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</si>
  <si>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</si>
  <si>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</si>
  <si>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</si>
  <si>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</si>
  <si>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</si>
  <si>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</si>
  <si>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</si>
  <si>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</si>
  <si>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</si>
  <si>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</si>
  <si>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</si>
  <si>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</si>
  <si>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</si>
  <si>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</si>
  <si>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</si>
  <si>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</si>
  <si>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</si>
  <si>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</si>
  <si>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</si>
  <si>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</si>
  <si>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</si>
  <si>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</si>
  <si>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</si>
  <si>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</si>
  <si>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</si>
  <si>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</si>
  <si>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</si>
  <si>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</si>
  <si>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</si>
  <si>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</si>
  <si>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</si>
  <si>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</si>
  <si>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</si>
  <si>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</si>
  <si>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</si>
  <si>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</si>
  <si>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</si>
  <si>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</si>
  <si>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</si>
  <si>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</si>
  <si>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</si>
  <si>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</si>
  <si>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</si>
  <si>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</si>
  <si>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</si>
  <si>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</si>
  <si>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</si>
  <si>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</si>
  <si>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</si>
  <si>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</si>
  <si>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</si>
  <si>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</si>
  <si>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</si>
  <si>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</si>
  <si>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</si>
  <si>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</si>
  <si>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</si>
  <si>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</si>
  <si>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</si>
  <si>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</si>
  <si>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</si>
  <si>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</si>
  <si>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</si>
  <si>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</si>
  <si>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</si>
  <si>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</si>
  <si>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</si>
  <si>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</si>
  <si>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</si>
  <si>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</si>
  <si>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</si>
  <si>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</si>
  <si>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</si>
  <si>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</si>
  <si>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</si>
  <si>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</si>
  <si>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</si>
  <si>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</si>
  <si>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</si>
  <si>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</si>
  <si>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</si>
  <si>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</si>
  <si>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</si>
  <si>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</si>
  <si>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</si>
  <si>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</si>
  <si>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</si>
  <si>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</si>
  <si>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</si>
  <si>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</si>
  <si>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</si>
  <si>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</si>
  <si>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</si>
  <si>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</si>
  <si>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</si>
  <si>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</si>
  <si>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</si>
  <si>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</si>
  <si>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</si>
  <si>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</si>
  <si>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</si>
  <si>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</si>
  <si>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</si>
  <si>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</si>
  <si>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</si>
  <si>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</si>
  <si>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</si>
  <si>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</si>
  <si>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</si>
  <si>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</si>
  <si>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</si>
  <si>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</si>
  <si>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</si>
  <si>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</si>
  <si>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</si>
  <si>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</si>
  <si>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</si>
  <si>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</si>
  <si>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</si>
  <si>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</si>
  <si>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</si>
  <si>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</si>
  <si>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</si>
  <si>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</si>
  <si>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</si>
  <si>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</si>
  <si>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</si>
  <si>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</si>
  <si>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</si>
  <si>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</si>
  <si>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</si>
  <si>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</si>
  <si>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</si>
  <si>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</si>
  <si>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</si>
  <si>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</si>
  <si>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</si>
  <si>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</si>
  <si>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</si>
  <si>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</si>
  <si>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</si>
  <si>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</si>
  <si>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</si>
  <si>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</si>
  <si>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</si>
  <si>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</si>
  <si>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</si>
  <si>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</si>
  <si>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</si>
  <si>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</si>
  <si>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</si>
  <si>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</si>
  <si>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</si>
  <si>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</si>
  <si>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</si>
  <si>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</si>
  <si>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</si>
  <si>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</si>
  <si>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</si>
  <si>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</si>
  <si>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</si>
  <si>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</si>
  <si>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</si>
  <si>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</si>
  <si>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</si>
  <si>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</si>
  <si>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</si>
  <si>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</si>
  <si>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</si>
  <si>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</si>
  <si>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</si>
  <si>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</si>
  <si>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</si>
  <si>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</si>
  <si>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</si>
  <si>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</si>
  <si>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</si>
  <si>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</si>
  <si>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</si>
  <si>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</si>
  <si>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</si>
  <si>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</si>
  <si>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</si>
  <si>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</si>
  <si>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</si>
  <si>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</si>
  <si>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</si>
  <si>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</si>
  <si>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</si>
  <si>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</si>
  <si>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</si>
  <si>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</si>
  <si>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</si>
  <si>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</si>
  <si>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</si>
  <si>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</si>
  <si>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</si>
  <si>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</si>
  <si>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</si>
  <si>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</si>
  <si>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</si>
  <si>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</si>
  <si>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</si>
  <si>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</si>
  <si>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</si>
  <si>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</si>
  <si>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</si>
  <si>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</si>
  <si>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</si>
  <si>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</si>
  <si>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</si>
  <si>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</si>
  <si>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</si>
  <si>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</si>
  <si>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</si>
  <si>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</si>
  <si>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</si>
  <si>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</si>
  <si>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</si>
  <si>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</si>
  <si>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</si>
  <si>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</si>
  <si>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</si>
  <si>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</si>
  <si>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</si>
  <si>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</si>
  <si>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</si>
  <si>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</si>
  <si>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</si>
  <si>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</si>
  <si>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</si>
  <si>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</si>
  <si>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</si>
  <si>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</si>
  <si>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</si>
  <si>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</si>
  <si>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</si>
  <si>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</si>
  <si>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</si>
  <si>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</si>
  <si>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</si>
  <si>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</si>
  <si>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</si>
  <si>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</si>
  <si>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</si>
  <si>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</si>
  <si>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</si>
  <si>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</si>
  <si>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</si>
  <si>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</si>
  <si>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</si>
  <si>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</si>
  <si>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</si>
  <si>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</si>
  <si>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</si>
  <si>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</si>
  <si>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</si>
  <si>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</si>
  <si>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</si>
  <si>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</si>
  <si>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</si>
  <si>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</si>
  <si>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</si>
  <si>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</si>
  <si>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</si>
  <si>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</si>
  <si>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</si>
  <si>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</si>
  <si>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</si>
  <si>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</si>
  <si>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</si>
  <si>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</si>
  <si>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</si>
  <si>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</si>
  <si>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</si>
  <si>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</si>
  <si>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</si>
  <si>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</si>
  <si>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</si>
  <si>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</si>
  <si>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</si>
  <si>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</si>
  <si>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</si>
  <si>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</si>
  <si>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</si>
  <si>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</si>
  <si>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</si>
  <si>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</si>
  <si>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</si>
  <si>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</si>
  <si>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</si>
  <si>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</si>
  <si>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</si>
  <si>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</si>
  <si>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</si>
  <si>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</si>
  <si>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</si>
  <si>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</si>
  <si>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</si>
  <si>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</si>
  <si>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</si>
  <si>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</si>
  <si>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</si>
  <si>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</si>
  <si>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</si>
  <si>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</si>
  <si>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</si>
  <si>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</si>
  <si>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</si>
  <si>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</si>
  <si>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</si>
  <si>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</si>
  <si>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</si>
  <si>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</si>
  <si>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</si>
  <si>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</si>
  <si>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</si>
  <si>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</si>
  <si>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</si>
  <si>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</si>
  <si>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</si>
  <si>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</si>
  <si>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</si>
  <si>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</si>
  <si>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</si>
  <si>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</si>
  <si>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</si>
  <si>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</si>
  <si>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</si>
  <si>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</si>
  <si>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</si>
  <si>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</si>
  <si>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</si>
  <si>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</si>
  <si>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</si>
  <si>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</si>
  <si>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</si>
  <si>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</si>
  <si>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</si>
  <si>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</si>
  <si>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</si>
  <si>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</si>
  <si>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</si>
  <si>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</si>
  <si>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</si>
  <si>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</si>
  <si>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</si>
  <si>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</si>
  <si>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</si>
  <si>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</si>
  <si>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</si>
  <si>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</si>
  <si>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</si>
  <si>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</si>
  <si>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</si>
  <si>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</si>
  <si>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</si>
  <si>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</si>
  <si>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</si>
  <si>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</si>
  <si>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</si>
  <si>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</si>
  <si>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</si>
  <si>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</si>
  <si>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</si>
  <si>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</si>
  <si>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</si>
  <si>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</si>
  <si>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</si>
  <si>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</si>
  <si>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</si>
  <si>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</si>
  <si>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</si>
  <si>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</si>
  <si>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</si>
  <si>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</si>
  <si>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</si>
  <si>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</si>
  <si>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</si>
  <si>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</si>
  <si>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</si>
  <si>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</si>
  <si>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</si>
  <si>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</si>
  <si>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</si>
  <si>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</si>
  <si>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</si>
  <si>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</si>
  <si>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</si>
  <si>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</si>
  <si>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</si>
  <si>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</si>
  <si>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</si>
  <si>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</si>
  <si>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</si>
  <si>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</si>
  <si>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</si>
  <si>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</si>
  <si>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</si>
  <si>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</si>
  <si>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</si>
  <si>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</si>
  <si>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</si>
  <si>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</si>
  <si>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</si>
  <si>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</si>
  <si>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</si>
  <si>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</si>
  <si>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</si>
  <si>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</si>
  <si>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</si>
  <si>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</si>
  <si>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</si>
  <si>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</si>
  <si>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</si>
  <si>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</si>
  <si>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</si>
  <si>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</si>
  <si>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</si>
  <si>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</si>
  <si>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</si>
  <si>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</si>
  <si>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</si>
  <si>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</si>
  <si>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</si>
  <si>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</si>
  <si>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</si>
  <si>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</si>
  <si>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</si>
  <si>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</si>
  <si>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</si>
  <si>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</si>
  <si>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</si>
  <si>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</si>
  <si>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</si>
  <si>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</si>
  <si>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</si>
  <si>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</si>
  <si>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</si>
  <si>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</si>
  <si>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</si>
  <si>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</si>
  <si>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</si>
  <si>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</si>
  <si>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</si>
  <si>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</si>
  <si>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</si>
  <si>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</si>
  <si>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</si>
  <si>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</si>
  <si>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</si>
  <si>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</si>
  <si>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</si>
  <si>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</si>
  <si>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</si>
  <si>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</si>
  <si>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</si>
  <si>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</si>
  <si>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</si>
  <si>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</si>
  <si>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</si>
  <si>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</si>
  <si>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</si>
  <si>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</si>
  <si>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</si>
  <si>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</si>
  <si>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</si>
  <si>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</si>
  <si>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</si>
  <si>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</si>
  <si>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</si>
  <si>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</si>
  <si>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</si>
  <si>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</si>
  <si>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</si>
  <si>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</si>
  <si>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</si>
  <si>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</si>
  <si>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</si>
  <si>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</si>
  <si>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</si>
  <si>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</si>
  <si>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</si>
  <si>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</si>
  <si>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</si>
  <si>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</si>
  <si>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</si>
  <si>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</si>
  <si>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</si>
  <si>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</si>
  <si>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</si>
  <si>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</si>
  <si>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</si>
  <si>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</si>
  <si>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</si>
  <si>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</si>
  <si>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</si>
  <si>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</si>
  <si>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</si>
  <si>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</si>
  <si>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</si>
  <si>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</si>
  <si>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</si>
  <si>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</si>
  <si>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</si>
  <si>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</si>
  <si>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</si>
  <si>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</si>
  <si>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</si>
  <si>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</si>
  <si>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</si>
  <si>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</si>
  <si>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</si>
  <si>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</si>
  <si>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</si>
  <si>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</si>
  <si>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</si>
  <si>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</si>
  <si>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</si>
  <si>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</si>
  <si>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</si>
  <si>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</si>
  <si>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</si>
  <si>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</si>
  <si>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</si>
  <si>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</si>
  <si>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</si>
  <si>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</si>
  <si>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</si>
  <si>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</si>
  <si>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</si>
  <si>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</si>
  <si>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</si>
  <si>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</si>
  <si>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</si>
  <si>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</si>
  <si>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</si>
  <si>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</si>
  <si>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</si>
  <si>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</si>
  <si>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</si>
  <si>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</si>
  <si>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</si>
  <si>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</si>
  <si>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</si>
  <si>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</si>
  <si>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</si>
  <si>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</si>
  <si>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</si>
  <si>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</si>
  <si>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</si>
  <si>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</si>
  <si>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</si>
  <si>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</si>
  <si>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</si>
  <si>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</si>
  <si>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</si>
  <si>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</si>
  <si>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</si>
  <si>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</si>
  <si>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</si>
  <si>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</si>
  <si>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</si>
  <si>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</si>
  <si>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</si>
  <si>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</si>
  <si>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</si>
  <si>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</si>
  <si>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</si>
  <si>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</si>
  <si>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</si>
  <si>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</si>
  <si>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</si>
  <si>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</si>
  <si>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</si>
  <si>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</si>
  <si>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</si>
  <si>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</si>
  <si>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</si>
  <si>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</si>
  <si>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</si>
  <si>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</si>
  <si>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</si>
  <si>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</si>
  <si>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</si>
  <si>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</si>
  <si>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</si>
  <si>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</si>
  <si>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</si>
  <si>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</si>
  <si>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</si>
  <si>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</si>
  <si>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</si>
  <si>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</si>
  <si>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</si>
  <si>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</si>
  <si>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</si>
  <si>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</si>
  <si>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</si>
  <si>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</si>
  <si>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</si>
  <si>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</si>
  <si>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</si>
  <si>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</si>
  <si>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</si>
  <si>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</si>
  <si>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</si>
  <si>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</si>
  <si>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</si>
  <si>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</si>
  <si>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</si>
  <si>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</si>
  <si>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</si>
  <si>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</si>
  <si>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</si>
  <si>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</si>
  <si>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</si>
  <si>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</si>
  <si>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</si>
  <si>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</si>
  <si>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</si>
  <si>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</si>
  <si>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</si>
  <si>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</si>
  <si>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</si>
  <si>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</si>
  <si>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</si>
  <si>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</si>
  <si>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</si>
  <si>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</si>
  <si>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</si>
  <si>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</si>
  <si>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</si>
  <si>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</si>
  <si>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</si>
  <si>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</si>
  <si>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</si>
  <si>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</si>
  <si>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</si>
  <si>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</si>
  <si>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</si>
  <si>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</si>
  <si>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</si>
  <si>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</si>
  <si>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</si>
  <si>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</si>
  <si>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</si>
  <si>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</si>
  <si>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</si>
  <si>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</si>
  <si>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</si>
  <si>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</si>
  <si>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</si>
  <si>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</si>
  <si>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</si>
  <si>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</si>
  <si>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</si>
  <si>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</si>
  <si>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</si>
  <si>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</si>
  <si>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</si>
  <si>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</si>
  <si>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</si>
  <si>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</si>
  <si>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</si>
  <si>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</si>
  <si>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</si>
  <si>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</si>
  <si>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</si>
  <si>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</si>
  <si>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</si>
  <si>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</si>
  <si>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</si>
  <si>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</si>
  <si>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</si>
  <si>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</si>
  <si>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</si>
  <si>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</si>
  <si>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</si>
  <si>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</si>
  <si>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</si>
  <si>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</si>
  <si>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</si>
  <si>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</si>
  <si>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</si>
  <si>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</si>
  <si>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</si>
  <si>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</si>
  <si>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</si>
  <si>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</si>
  <si>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</si>
  <si>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</si>
  <si>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</si>
  <si>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</si>
  <si>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</si>
  <si>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</si>
  <si>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</si>
  <si>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</si>
  <si>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</si>
  <si>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</si>
  <si>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</si>
  <si>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</si>
  <si>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</si>
  <si>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</si>
  <si>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</si>
  <si>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</si>
  <si>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</si>
  <si>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</si>
  <si>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</si>
  <si>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</si>
  <si>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</si>
  <si>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</si>
  <si>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</si>
  <si>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</si>
  <si>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</si>
  <si>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</si>
  <si>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</si>
  <si>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</si>
  <si>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</si>
  <si>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</si>
  <si>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</si>
  <si>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</si>
  <si>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</si>
  <si>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</si>
  <si>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</si>
  <si>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</si>
  <si>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</si>
  <si>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</si>
  <si>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</si>
  <si>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</si>
  <si>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</si>
  <si>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</si>
  <si>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</si>
  <si>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</si>
  <si>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</si>
  <si>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</si>
  <si>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</si>
  <si>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</si>
  <si>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</si>
  <si>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</si>
  <si>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</si>
  <si>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</si>
  <si>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</si>
  <si>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</si>
  <si>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</si>
  <si>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</si>
  <si>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</si>
  <si>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</si>
  <si>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</si>
  <si>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</si>
  <si>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</si>
  <si>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</si>
  <si>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</si>
  <si>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</si>
  <si>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</si>
  <si>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</si>
  <si>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</si>
  <si>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</si>
  <si>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</si>
  <si>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</si>
  <si>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</si>
  <si>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</si>
  <si>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</si>
  <si>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</si>
  <si>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</si>
  <si>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</si>
  <si>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</si>
  <si>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</si>
  <si>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</si>
  <si>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</si>
  <si>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</si>
  <si>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</si>
  <si>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</si>
  <si>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</si>
  <si>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</si>
  <si>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</si>
  <si>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</si>
  <si>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</si>
  <si>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</si>
  <si>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</si>
  <si>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</si>
  <si>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</si>
  <si>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</si>
  <si>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</si>
  <si>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</si>
  <si>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</si>
  <si>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</si>
  <si>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</si>
  <si>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</si>
  <si>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</si>
  <si>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</si>
  <si>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</si>
  <si>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</si>
  <si>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</si>
  <si>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</si>
  <si>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</si>
  <si>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</si>
  <si>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</si>
  <si>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</si>
  <si>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</si>
  <si>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</si>
  <si>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</si>
  <si>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</si>
  <si>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</si>
  <si>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</si>
  <si>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</si>
  <si>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</si>
  <si>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</si>
  <si>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</si>
  <si>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</si>
  <si>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</si>
  <si>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</si>
  <si>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</si>
  <si>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</si>
  <si>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</si>
  <si>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</si>
  <si>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</si>
  <si>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</si>
  <si>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</si>
  <si>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</si>
  <si>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</si>
  <si>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</si>
  <si>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</si>
  <si>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</si>
  <si>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</si>
  <si>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</si>
  <si>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</si>
  <si>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</si>
  <si>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</si>
  <si>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</si>
  <si>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</si>
  <si>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</si>
  <si>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</si>
  <si>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</si>
  <si>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</si>
  <si>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</si>
  <si>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</si>
  <si>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</si>
  <si>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</si>
  <si>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</si>
  <si>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</si>
  <si>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</si>
  <si>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</si>
  <si>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</si>
  <si>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</si>
  <si>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</si>
  <si>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</si>
  <si>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</si>
  <si>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</si>
  <si>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</si>
  <si>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</si>
  <si>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</si>
  <si>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</si>
  <si>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</si>
  <si>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</si>
  <si>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</si>
  <si>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</si>
  <si>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</si>
  <si>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</si>
  <si>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</si>
  <si>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</si>
  <si>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</si>
  <si>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</si>
  <si>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</si>
  <si>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</si>
  <si>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</si>
  <si>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</si>
  <si>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</si>
  <si>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</si>
  <si>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</si>
  <si>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</si>
  <si>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</si>
  <si>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</si>
  <si>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</si>
  <si>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</si>
  <si>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</si>
  <si>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</si>
  <si>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</si>
  <si>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</si>
  <si>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</si>
  <si>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</si>
  <si>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</si>
  <si>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</si>
  <si>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</si>
  <si>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</si>
  <si>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</si>
  <si>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</si>
  <si>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</si>
  <si>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</si>
  <si>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</si>
  <si>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</si>
  <si>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</si>
  <si>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</si>
  <si>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</si>
  <si>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</si>
  <si>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</si>
  <si>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</si>
  <si>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</si>
  <si>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</si>
  <si>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</si>
  <si>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</si>
  <si>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</si>
  <si>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</si>
  <si>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</si>
  <si>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</si>
  <si>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</si>
  <si>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</si>
  <si>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</si>
  <si>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</si>
  <si>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</si>
  <si>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</si>
  <si>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</si>
  <si>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</si>
  <si>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</si>
  <si>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</si>
  <si>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</si>
  <si>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</si>
  <si>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</si>
  <si>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</si>
  <si>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</si>
  <si>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</si>
  <si>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</si>
  <si>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</si>
  <si>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</si>
  <si>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</si>
  <si>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</si>
  <si>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</si>
  <si>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</si>
  <si>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</si>
  <si>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</si>
  <si>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</si>
  <si>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</si>
  <si>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</si>
  <si>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</si>
  <si>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</si>
  <si>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</si>
  <si>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</si>
  <si>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</si>
  <si>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</si>
  <si>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</si>
  <si>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</si>
  <si>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</si>
  <si>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</si>
  <si>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</si>
  <si>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</si>
  <si>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</si>
  <si>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</si>
  <si>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</si>
  <si>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</si>
  <si>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</si>
  <si>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</si>
  <si>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</si>
  <si>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</si>
  <si>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</si>
  <si>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</si>
  <si>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</si>
  <si>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</si>
  <si>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</si>
  <si>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</si>
  <si>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</si>
  <si>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</si>
  <si>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</si>
  <si>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</si>
  <si>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</si>
  <si>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</si>
  <si>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</si>
  <si>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</si>
  <si>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</si>
  <si>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</si>
  <si>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</si>
  <si>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</si>
  <si>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</si>
  <si>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</si>
  <si>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</si>
  <si>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</si>
  <si>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</si>
  <si>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</si>
  <si>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</si>
  <si>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</si>
  <si>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</si>
  <si>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</si>
  <si>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</si>
  <si>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</si>
  <si>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</si>
  <si>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</si>
  <si>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</si>
  <si>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</si>
  <si>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</si>
  <si>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</si>
  <si>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</si>
  <si>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</si>
  <si>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</si>
  <si>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</si>
  <si>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</si>
  <si>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</si>
  <si>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</si>
  <si>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</si>
  <si>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</si>
  <si>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</si>
  <si>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</si>
  <si>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</si>
  <si>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</si>
  <si>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</si>
  <si>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</si>
  <si>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</si>
  <si>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</si>
  <si>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</si>
  <si>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</si>
  <si>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</si>
  <si>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</si>
  <si>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</si>
  <si>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</si>
  <si>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</si>
  <si>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</si>
  <si>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</si>
  <si>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</si>
  <si>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</si>
  <si>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</si>
  <si>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</si>
  <si>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</si>
  <si>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</si>
  <si>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</si>
  <si>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</si>
  <si>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</si>
  <si>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</si>
  <si>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</si>
  <si>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</si>
  <si>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</si>
  <si>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</si>
  <si>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</si>
  <si>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</si>
  <si>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</si>
  <si>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</si>
  <si>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</si>
  <si>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</si>
  <si>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</si>
  <si>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</si>
  <si>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</si>
  <si>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</si>
  <si>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</si>
  <si>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</si>
  <si>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</si>
  <si>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</si>
  <si>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</si>
  <si>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</si>
  <si>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</si>
  <si>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</si>
  <si>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</si>
  <si>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</si>
  <si>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</si>
  <si>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</si>
  <si>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</si>
  <si>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</si>
  <si>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</si>
  <si>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</si>
  <si>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</si>
  <si>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</si>
  <si>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</si>
  <si>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</si>
  <si>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</si>
  <si>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</si>
  <si>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</si>
  <si>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</si>
  <si>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</si>
  <si>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</si>
  <si>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</si>
  <si>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</si>
  <si>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</si>
  <si>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</si>
  <si>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</si>
  <si>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</si>
  <si>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</si>
  <si>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</si>
  <si>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</si>
  <si>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</si>
  <si>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</si>
  <si>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</si>
  <si>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</si>
  <si>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</si>
  <si>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</si>
  <si>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</si>
  <si>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</si>
  <si>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</si>
  <si>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</si>
  <si>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</si>
  <si>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</si>
  <si>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</si>
  <si>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</si>
  <si>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</si>
  <si>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</si>
  <si>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</si>
  <si>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</si>
  <si>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</si>
  <si>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</si>
  <si>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</si>
  <si>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</si>
  <si>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</si>
  <si>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</si>
  <si>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</si>
  <si>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</si>
  <si>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</si>
  <si>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</si>
  <si>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</si>
  <si>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</si>
  <si>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</si>
  <si>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</si>
  <si>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</si>
  <si>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</si>
  <si>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</si>
  <si>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</si>
  <si>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</si>
  <si>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</si>
  <si>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</si>
  <si>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</si>
  <si>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</si>
  <si>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</si>
  <si>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</si>
  <si>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</si>
  <si>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</si>
  <si>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</si>
  <si>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</si>
  <si>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</si>
  <si>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</si>
  <si>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</si>
  <si>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</si>
  <si>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</si>
  <si>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</si>
  <si>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</si>
  <si>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</si>
  <si>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</si>
  <si>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</si>
  <si>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</si>
  <si>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</si>
  <si>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</si>
  <si>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</si>
  <si>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</si>
  <si>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</si>
  <si>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</si>
  <si>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</si>
  <si>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</si>
  <si>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</si>
  <si>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</si>
  <si>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</si>
  <si>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</si>
  <si>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</si>
  <si>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</si>
  <si>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</si>
  <si>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</si>
  <si>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</si>
  <si>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</si>
  <si>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</si>
  <si>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</si>
  <si>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</si>
  <si>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</si>
  <si>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</si>
  <si>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</si>
  <si>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</si>
  <si>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</si>
  <si>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</si>
  <si>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</si>
  <si>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</si>
  <si>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</si>
  <si>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</si>
  <si>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</si>
  <si>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</si>
  <si>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</si>
  <si>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</si>
  <si>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</si>
  <si>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</si>
  <si>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</si>
  <si>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</si>
  <si>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</si>
  <si>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</si>
  <si>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</si>
  <si>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</si>
  <si>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</si>
  <si>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</si>
  <si>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</si>
  <si>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</si>
  <si>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</si>
  <si>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</si>
  <si>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</si>
  <si>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</si>
  <si>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</si>
  <si>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</si>
  <si>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</si>
  <si>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</si>
  <si>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</si>
  <si>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</si>
  <si>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</si>
  <si>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</si>
  <si>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</si>
  <si>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</si>
  <si>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</si>
  <si>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</si>
  <si>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</si>
  <si>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</si>
  <si>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</si>
  <si>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</si>
  <si>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</si>
  <si>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</si>
  <si>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</si>
  <si>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</si>
  <si>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</si>
  <si>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</si>
  <si>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</si>
  <si>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</si>
  <si>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</si>
  <si>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</si>
  <si>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</si>
  <si>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</si>
  <si>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</si>
  <si>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</si>
  <si>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</si>
  <si>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</si>
  <si>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</si>
  <si>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</si>
  <si>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</si>
  <si>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</si>
  <si>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</si>
  <si>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</si>
  <si>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</si>
  <si>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</si>
  <si>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</si>
  <si>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</si>
  <si>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</si>
  <si>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</si>
  <si>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</si>
  <si>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</si>
  <si>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</si>
  <si>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</si>
  <si>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</si>
  <si>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</si>
  <si>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</si>
  <si>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</si>
  <si>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</si>
  <si>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</si>
  <si>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</si>
  <si>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</si>
  <si>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</si>
  <si>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</si>
  <si>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</si>
  <si>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</si>
  <si>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</si>
  <si>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</si>
  <si>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</si>
  <si>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</si>
  <si>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</si>
  <si>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</si>
  <si>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</si>
  <si>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</si>
  <si>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</si>
  <si>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</si>
  <si>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</si>
  <si>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</si>
  <si>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</si>
  <si>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</si>
  <si>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</si>
  <si>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</si>
  <si>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</si>
  <si>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</si>
  <si>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</si>
  <si>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</si>
  <si>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</si>
  <si>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</si>
  <si>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</si>
  <si>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</si>
  <si>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</si>
  <si>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</si>
  <si>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</si>
  <si>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</si>
  <si>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</si>
  <si>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</si>
  <si>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</si>
  <si>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</si>
  <si>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</si>
  <si>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</si>
  <si>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</si>
  <si>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</si>
  <si>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</si>
  <si>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</si>
  <si>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</si>
  <si>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</si>
  <si>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</si>
  <si>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</si>
  <si>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</si>
  <si>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</si>
  <si>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</si>
  <si>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</si>
  <si>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</si>
  <si>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</si>
  <si>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</si>
  <si>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</si>
  <si>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</si>
  <si>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</si>
  <si>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</si>
  <si>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</si>
  <si>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</si>
  <si>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</si>
  <si>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</si>
  <si>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</si>
  <si>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</si>
  <si>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</si>
  <si>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</si>
  <si>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</si>
  <si>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</si>
  <si>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</si>
  <si>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</si>
  <si>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</si>
  <si>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</si>
  <si>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</si>
  <si>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</si>
  <si>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</si>
  <si>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</si>
  <si>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</si>
  <si>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</si>
  <si>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</si>
  <si>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</si>
  <si>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</si>
  <si>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</si>
  <si>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</si>
  <si>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</si>
  <si>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</si>
  <si>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</si>
  <si>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</si>
  <si>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</si>
  <si>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</si>
  <si>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</si>
  <si>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</si>
  <si>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</si>
  <si>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</si>
  <si>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</si>
  <si>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</si>
  <si>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</si>
  <si>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</si>
  <si>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</si>
  <si>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</si>
  <si>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</si>
  <si>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</si>
  <si>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</si>
  <si>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</si>
  <si>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</si>
  <si>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</si>
  <si>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</si>
  <si>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</si>
  <si>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</si>
  <si>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</si>
  <si>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</si>
  <si>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</si>
  <si>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</si>
  <si>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</si>
  <si>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</si>
  <si>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</si>
  <si>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</si>
  <si>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</si>
  <si>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</si>
  <si>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</si>
  <si>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</si>
  <si>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</si>
  <si>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</si>
  <si>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</si>
  <si>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</si>
  <si>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</si>
  <si>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</si>
  <si>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</si>
  <si>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</si>
  <si>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</si>
  <si>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</si>
  <si>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</si>
  <si>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</si>
  <si>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</si>
  <si>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</si>
  <si>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</si>
  <si>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</si>
  <si>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</si>
  <si>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</si>
  <si>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</si>
  <si>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</si>
  <si>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</si>
  <si>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</si>
  <si>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</si>
  <si>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</si>
  <si>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</si>
  <si>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</si>
  <si>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</si>
  <si>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</si>
  <si>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</si>
  <si>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</si>
  <si>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</si>
  <si>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</si>
  <si>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</si>
  <si>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</si>
  <si>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</si>
  <si>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</si>
  <si>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</si>
  <si>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</si>
  <si>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</si>
  <si>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</si>
  <si>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</si>
  <si>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</si>
  <si>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</si>
  <si>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</si>
  <si>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</si>
  <si>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</si>
  <si>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</si>
  <si>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</si>
  <si>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</si>
  <si>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</si>
  <si>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</si>
  <si>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</si>
  <si>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</si>
  <si>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</si>
  <si>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</si>
  <si>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</si>
  <si>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</si>
  <si>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</si>
  <si>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</si>
  <si>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</si>
  <si>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</si>
  <si>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</si>
  <si>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</si>
  <si>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</si>
  <si>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</si>
  <si>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</si>
  <si>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</si>
  <si>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</si>
  <si>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</si>
  <si>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</si>
  <si>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</si>
  <si>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</si>
  <si>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</si>
  <si>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</si>
  <si>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</si>
  <si>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</si>
  <si>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</si>
  <si>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</si>
  <si>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</si>
  <si>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</si>
  <si>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</si>
  <si>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</si>
  <si>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</si>
  <si>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</si>
  <si>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</si>
  <si>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</si>
  <si>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</si>
  <si>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</si>
  <si>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</si>
  <si>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</si>
  <si>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</si>
  <si>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</si>
  <si>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</si>
  <si>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</si>
  <si>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</si>
  <si>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</si>
  <si>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</si>
  <si>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</si>
  <si>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</si>
  <si>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</si>
  <si>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</si>
  <si>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</si>
  <si>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</si>
  <si>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</si>
  <si>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</si>
  <si>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</si>
  <si>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</si>
  <si>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</si>
  <si>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</si>
  <si>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</si>
  <si>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</si>
  <si>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</si>
  <si>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</si>
  <si>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</si>
  <si>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</si>
  <si>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</si>
  <si>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</si>
  <si>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</si>
  <si>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</si>
  <si>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</si>
  <si>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</si>
  <si>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</si>
  <si>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</si>
  <si>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</si>
  <si>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</si>
  <si>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</si>
  <si>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</si>
  <si>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</si>
  <si>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</si>
  <si>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</si>
  <si>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</si>
  <si>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</si>
  <si>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</si>
  <si>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</si>
  <si>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</si>
  <si>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</si>
  <si>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</si>
  <si>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</si>
  <si>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</si>
  <si>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</si>
  <si>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</si>
  <si>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</si>
  <si>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</si>
  <si>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</si>
  <si>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</si>
  <si>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</si>
  <si>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</si>
  <si>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</si>
  <si>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</si>
  <si>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</si>
  <si>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</si>
  <si>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</si>
  <si>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</si>
  <si>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</si>
  <si>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</si>
  <si>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</si>
  <si>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</si>
  <si>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</si>
  <si>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</si>
  <si>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</si>
  <si>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</si>
  <si>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</si>
  <si>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</si>
  <si>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</si>
  <si>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</si>
  <si>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</si>
  <si>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</si>
  <si>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</si>
  <si>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</si>
  <si>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</si>
  <si>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</si>
  <si>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</si>
  <si>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</si>
  <si>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</si>
  <si>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</si>
  <si>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</si>
  <si>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</si>
  <si>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</si>
  <si>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</si>
  <si>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</si>
  <si>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</si>
  <si>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</si>
  <si>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</si>
  <si>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</si>
  <si>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</si>
  <si>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</si>
  <si>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</si>
  <si>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</si>
  <si>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</si>
  <si>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</si>
  <si>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</si>
  <si>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</si>
  <si>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</si>
  <si>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</si>
  <si>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</si>
  <si>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</si>
  <si>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</si>
  <si>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</si>
  <si>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</si>
  <si>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</si>
  <si>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</si>
  <si>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</si>
  <si>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</si>
  <si>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</si>
  <si>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</si>
  <si>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</si>
  <si>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</si>
  <si>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</si>
  <si>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</si>
  <si>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</si>
  <si>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</si>
  <si>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</si>
  <si>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</si>
  <si>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</si>
  <si>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</si>
  <si>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</si>
  <si>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</si>
  <si>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</si>
  <si>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</si>
  <si>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</si>
  <si>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</si>
  <si>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</si>
  <si>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</si>
  <si>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</si>
  <si>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</si>
  <si>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</si>
  <si>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</si>
  <si>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</si>
  <si>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</si>
  <si>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</si>
  <si>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</si>
  <si>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</si>
  <si>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</si>
  <si>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</si>
  <si>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</si>
  <si>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</si>
  <si>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</si>
  <si>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</si>
  <si>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</si>
  <si>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</si>
  <si>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</si>
  <si>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</si>
  <si>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</si>
  <si>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</si>
  <si>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</si>
  <si>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</si>
  <si>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</si>
  <si>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</si>
  <si>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</si>
  <si>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</si>
  <si>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</si>
  <si>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</si>
  <si>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</si>
  <si>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</si>
  <si>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</si>
  <si>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</si>
  <si>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</si>
  <si>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</si>
  <si>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</si>
  <si>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</si>
  <si>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</si>
  <si>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</si>
  <si>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</si>
  <si>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</si>
  <si>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</si>
  <si>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</si>
  <si>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</si>
  <si>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</si>
  <si>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</si>
  <si>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</si>
  <si>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</si>
  <si>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</si>
  <si>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</si>
  <si>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</si>
  <si>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</si>
  <si>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</si>
  <si>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</si>
  <si>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</si>
  <si>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</si>
  <si>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</si>
  <si>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</si>
  <si>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</si>
  <si>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</si>
  <si>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</si>
  <si>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</si>
  <si>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</si>
  <si>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</si>
  <si>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</si>
  <si>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</si>
  <si>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</si>
  <si>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</si>
  <si>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</si>
  <si>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</si>
  <si>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</si>
  <si>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</si>
  <si>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</si>
  <si>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</si>
  <si>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</si>
  <si>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</si>
  <si>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</si>
  <si>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</si>
  <si>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</si>
  <si>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</si>
  <si>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</si>
  <si>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</si>
  <si>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</si>
  <si>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</si>
  <si>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</si>
  <si>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</si>
  <si>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</si>
  <si>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</si>
  <si>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</si>
  <si>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</si>
  <si>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</si>
  <si>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</si>
  <si>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</si>
  <si>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</si>
  <si>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</si>
  <si>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</si>
  <si>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</si>
  <si>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</si>
  <si>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</si>
  <si>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</si>
  <si>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</si>
  <si>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</si>
  <si>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</si>
  <si>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</si>
  <si>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</si>
  <si>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</si>
  <si>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</si>
  <si>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</si>
  <si>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</si>
  <si>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</si>
  <si>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</si>
  <si>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</si>
  <si>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</si>
  <si>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</si>
  <si>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</si>
  <si>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</si>
  <si>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</si>
  <si>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</si>
  <si>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</si>
  <si>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</si>
  <si>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</si>
  <si>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</si>
  <si>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</si>
  <si>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</si>
  <si>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</si>
  <si>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</si>
  <si>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</si>
  <si>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</si>
  <si>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</si>
  <si>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</si>
  <si>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</si>
  <si>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</si>
  <si>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</si>
  <si>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</si>
  <si>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</si>
  <si>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</si>
  <si>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</si>
  <si>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</si>
  <si>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</si>
  <si>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</si>
  <si>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</si>
  <si>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</si>
  <si>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</si>
  <si>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</si>
  <si>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</si>
  <si>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</si>
  <si>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</si>
  <si>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</si>
  <si>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</si>
  <si>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</si>
  <si>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</si>
  <si>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</si>
  <si>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</si>
  <si>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</si>
  <si>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</si>
  <si>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</si>
  <si>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</si>
  <si>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</si>
  <si>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</si>
  <si>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</si>
  <si>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</si>
  <si>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</si>
  <si>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</si>
  <si>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</si>
  <si>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</si>
  <si>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</si>
  <si>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</si>
  <si>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</si>
  <si>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</si>
  <si>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</si>
  <si>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</si>
  <si>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</si>
  <si>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</si>
  <si>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</si>
  <si>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</si>
  <si>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</si>
  <si>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</si>
  <si>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</si>
  <si>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</si>
  <si>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</si>
  <si>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</si>
  <si>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</si>
  <si>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</si>
  <si>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</si>
  <si>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</si>
  <si>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</si>
  <si>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</si>
  <si>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</si>
  <si>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</si>
  <si>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</si>
  <si>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</si>
  <si>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</si>
  <si>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</si>
  <si>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</si>
  <si>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</si>
  <si>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</si>
  <si>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</si>
  <si>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</si>
  <si>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</si>
  <si>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</si>
  <si>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</si>
  <si>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</si>
  <si>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</si>
  <si>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</si>
  <si>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</si>
  <si>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</si>
  <si>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</si>
  <si>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</si>
  <si>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</si>
  <si>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</si>
  <si>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</si>
  <si>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</si>
  <si>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</si>
  <si>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</si>
  <si>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</si>
  <si>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</si>
  <si>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</si>
  <si>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</si>
  <si>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</si>
  <si>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</si>
  <si>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</si>
  <si>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</si>
  <si>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</si>
  <si>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</si>
  <si>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</si>
  <si>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</si>
  <si>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</si>
  <si>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</si>
  <si>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</si>
  <si>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</si>
  <si>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</si>
  <si>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</si>
  <si>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</si>
  <si>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</si>
  <si>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</si>
  <si>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</si>
  <si>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</si>
  <si>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</si>
  <si>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</si>
  <si>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</si>
  <si>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</si>
  <si>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</si>
  <si>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</si>
  <si>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</si>
  <si>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</si>
  <si>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</si>
  <si>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</si>
  <si>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</si>
  <si>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</si>
  <si>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</si>
  <si>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</si>
  <si>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</si>
  <si>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</si>
  <si>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</si>
  <si>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</si>
  <si>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</si>
  <si>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</si>
  <si>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</si>
  <si>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</si>
  <si>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</si>
  <si>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</si>
  <si>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</si>
  <si>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</si>
  <si>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</si>
  <si>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</si>
  <si>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</si>
  <si>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</si>
  <si>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</si>
  <si>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</si>
  <si>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</si>
  <si>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</si>
  <si>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</si>
  <si>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</si>
  <si>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</si>
  <si>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</si>
  <si>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</si>
  <si>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</si>
  <si>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</si>
  <si>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</si>
  <si>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</si>
  <si>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</si>
  <si>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</si>
  <si>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</si>
  <si>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</si>
  <si>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</si>
  <si>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</si>
  <si>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</si>
  <si>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</si>
  <si>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</si>
  <si>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</si>
  <si>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</si>
  <si>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</si>
  <si>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</si>
  <si>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</si>
  <si>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</si>
  <si>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</si>
  <si>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</si>
  <si>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</si>
  <si>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</si>
  <si>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</si>
  <si>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</si>
  <si>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</si>
  <si>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</si>
  <si>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</si>
  <si>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</si>
  <si>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</si>
  <si>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</si>
  <si>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</si>
  <si>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</si>
  <si>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</si>
  <si>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</si>
  <si>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</si>
  <si>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</si>
  <si>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</si>
  <si>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</si>
  <si>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</si>
  <si>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</si>
  <si>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</si>
  <si>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</si>
  <si>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</si>
  <si>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</si>
  <si>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</si>
  <si>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</si>
  <si>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</si>
  <si>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</si>
  <si>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</si>
  <si>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</si>
  <si>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</si>
  <si>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</si>
  <si>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</si>
  <si>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</si>
  <si>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</si>
  <si>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</si>
  <si>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</si>
  <si>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</si>
  <si>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</si>
  <si>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</si>
  <si>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</si>
  <si>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</si>
  <si>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</si>
  <si>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</si>
  <si>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</si>
  <si>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</si>
  <si>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</si>
  <si>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</si>
  <si>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</si>
  <si>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</si>
  <si>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</si>
  <si>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</si>
  <si>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</si>
  <si>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</si>
  <si>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</si>
  <si>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</si>
  <si>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</si>
  <si>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</si>
  <si>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</si>
  <si>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</si>
  <si>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</si>
  <si>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</si>
  <si>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</si>
  <si>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</si>
  <si>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</si>
  <si>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</si>
  <si>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</si>
  <si>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</si>
  <si>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</si>
  <si>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</si>
  <si>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</si>
  <si>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</si>
  <si>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</si>
  <si>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</si>
  <si>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</si>
  <si>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</si>
  <si>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</si>
  <si>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</si>
  <si>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</si>
  <si>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</si>
  <si>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</si>
  <si>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</si>
  <si>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</si>
  <si>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</si>
  <si>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</si>
  <si>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</si>
  <si>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</si>
  <si>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</si>
  <si>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</si>
  <si>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</si>
  <si>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</si>
  <si>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</si>
  <si>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</si>
  <si>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</si>
  <si>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</si>
  <si>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</si>
  <si>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</si>
  <si>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</si>
  <si>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</si>
  <si>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</si>
  <si>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</si>
  <si>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</si>
  <si>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</si>
  <si>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</si>
  <si>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</si>
  <si>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</si>
  <si>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</si>
  <si>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</si>
  <si>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</si>
  <si>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</si>
  <si>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</si>
  <si>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</si>
  <si>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</si>
  <si>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</si>
  <si>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</si>
  <si>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</si>
  <si>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</si>
  <si>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</si>
  <si>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</si>
  <si>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</si>
  <si>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</si>
  <si>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</si>
  <si>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</si>
  <si>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</si>
  <si>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</si>
  <si>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</si>
  <si>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</si>
  <si>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</si>
  <si>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</si>
  <si>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</si>
  <si>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</si>
  <si>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</si>
  <si>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</si>
  <si>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</si>
  <si>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</si>
  <si>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</si>
  <si>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</si>
  <si>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</si>
  <si>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</si>
  <si>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</si>
  <si>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</si>
  <si>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</si>
  <si>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</si>
  <si>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</si>
  <si>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</si>
  <si>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</si>
  <si>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</si>
  <si>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</si>
  <si>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</si>
  <si>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</si>
  <si>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</si>
  <si>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</si>
  <si>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</si>
  <si>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</si>
  <si>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</si>
  <si>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</si>
  <si>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</si>
  <si>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</si>
  <si>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</si>
  <si>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</si>
  <si>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</si>
  <si>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</si>
  <si>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</si>
  <si>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</si>
  <si>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</si>
  <si>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</si>
  <si>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</si>
  <si>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</si>
  <si>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</si>
  <si>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</si>
  <si>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</si>
  <si>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</si>
  <si>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</si>
  <si>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</si>
  <si>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</si>
  <si>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</si>
  <si>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</si>
  <si>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</si>
  <si>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</si>
  <si>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</si>
  <si>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</si>
  <si>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</si>
  <si>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</si>
  <si>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</si>
  <si>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</si>
  <si>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</si>
  <si>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</si>
  <si>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</si>
  <si>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</si>
  <si>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</si>
  <si>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</si>
  <si>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</si>
  <si>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</si>
  <si>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</si>
  <si>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</si>
  <si>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</si>
  <si>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</si>
  <si>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</si>
  <si>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</si>
  <si>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</si>
  <si>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</si>
  <si>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</si>
  <si>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</si>
  <si>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</si>
  <si>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</si>
  <si>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</si>
  <si>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</si>
  <si>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</si>
  <si>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</si>
  <si>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</si>
  <si>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</si>
  <si>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</si>
  <si>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</si>
  <si>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</si>
  <si>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</si>
  <si>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</si>
  <si>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</si>
  <si>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</si>
  <si>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</si>
  <si>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</si>
  <si>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</si>
  <si>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</si>
  <si>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</si>
  <si>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</si>
  <si>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</si>
  <si>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</si>
  <si>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</si>
  <si>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</si>
  <si>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</si>
  <si>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</si>
  <si>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</si>
  <si>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</si>
  <si>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</si>
  <si>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</si>
  <si>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</si>
  <si>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</si>
  <si>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</si>
  <si>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</si>
  <si>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</si>
  <si>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</si>
  <si>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</si>
  <si>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</si>
  <si>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</si>
  <si>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</si>
  <si>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</si>
  <si>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</si>
  <si>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</si>
  <si>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</si>
  <si>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</si>
  <si>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</si>
  <si>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</si>
  <si>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</si>
  <si>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</si>
  <si>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</si>
  <si>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</si>
  <si>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</si>
  <si>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</si>
  <si>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</si>
  <si>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</si>
  <si>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</si>
  <si>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</si>
  <si>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</si>
  <si>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</si>
  <si>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</si>
  <si>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</si>
  <si>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</si>
  <si>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</si>
  <si>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</si>
  <si>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</si>
  <si>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</si>
  <si>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</si>
  <si>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</si>
  <si>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</si>
  <si>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</si>
  <si>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</si>
  <si>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</si>
  <si>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</si>
  <si>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</si>
  <si>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</si>
  <si>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</si>
  <si>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</si>
  <si>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</si>
  <si>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</si>
  <si>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</si>
  <si>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</si>
  <si>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</si>
  <si>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</si>
  <si>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</si>
  <si>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</si>
  <si>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</si>
  <si>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</si>
  <si>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</si>
  <si>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</si>
  <si>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</si>
  <si>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</si>
  <si>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</si>
  <si>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</si>
  <si>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</si>
  <si>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</si>
  <si>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</si>
  <si>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</si>
  <si>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</si>
  <si>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</si>
  <si>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</si>
  <si>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</si>
  <si>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</si>
  <si>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</si>
  <si>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</si>
  <si>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</si>
  <si>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</si>
  <si>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</si>
  <si>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</si>
  <si>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</si>
  <si>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</si>
  <si>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</si>
  <si>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</si>
  <si>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</si>
  <si>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</si>
  <si>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</si>
  <si>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</si>
  <si>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</si>
  <si>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</si>
  <si>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</si>
  <si>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</si>
  <si>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</si>
  <si>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</si>
  <si>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</si>
  <si>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</si>
  <si>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</si>
  <si>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</si>
  <si>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</si>
  <si>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</si>
  <si>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</si>
  <si>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</si>
  <si>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</si>
  <si>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</si>
  <si>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</si>
  <si>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</si>
  <si>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</si>
  <si>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</si>
  <si>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</si>
  <si>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</si>
  <si>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</si>
  <si>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</si>
  <si>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</si>
  <si>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</si>
  <si>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</si>
  <si>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</si>
  <si>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</si>
  <si>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</si>
  <si>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</si>
  <si>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</si>
  <si>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</si>
  <si>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</si>
  <si>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</si>
  <si>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</si>
  <si>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</si>
  <si>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</si>
  <si>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</si>
  <si>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</si>
  <si>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</si>
  <si>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</si>
  <si>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</si>
  <si>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</si>
  <si>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</si>
  <si>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</si>
  <si>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</si>
  <si>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</si>
  <si>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</si>
  <si>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</si>
  <si>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</si>
  <si>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</si>
  <si>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</si>
  <si>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</si>
  <si>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</si>
  <si>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</si>
  <si>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</si>
  <si>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</si>
  <si>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</si>
  <si>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</si>
  <si>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</si>
  <si>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</si>
  <si>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</si>
  <si>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</si>
  <si>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</si>
  <si>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</si>
  <si>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</si>
  <si>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</si>
  <si>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</si>
  <si>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</si>
  <si>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</si>
  <si>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</si>
  <si>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</si>
  <si>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</si>
  <si>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</si>
  <si>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</si>
  <si>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</si>
  <si>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</si>
  <si>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</si>
  <si>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</si>
  <si>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</si>
  <si>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</si>
  <si>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</si>
  <si>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</si>
  <si>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</si>
  <si>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</si>
  <si>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</si>
  <si>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</si>
  <si>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</si>
  <si>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</si>
  <si>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</si>
  <si>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</si>
  <si>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</si>
  <si>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</si>
  <si>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</si>
  <si>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</si>
  <si>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</si>
  <si>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</si>
  <si>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</si>
  <si>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</si>
  <si>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</si>
  <si>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</si>
  <si>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</si>
  <si>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</si>
  <si>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</si>
  <si>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</si>
  <si>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</si>
  <si>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</si>
  <si>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</si>
  <si>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</si>
  <si>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</si>
  <si>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</si>
  <si>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</si>
  <si>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</si>
  <si>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</si>
  <si>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</si>
  <si>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</si>
  <si>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</si>
  <si>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</si>
  <si>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</si>
  <si>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</si>
  <si>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</si>
  <si>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</si>
  <si>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</si>
  <si>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</si>
  <si>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</si>
  <si>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</si>
  <si>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</si>
  <si>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</si>
  <si>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</si>
  <si>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</si>
  <si>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</si>
  <si>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</si>
  <si>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</si>
  <si>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</si>
  <si>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</si>
  <si>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</si>
  <si>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</si>
  <si>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</si>
  <si>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</si>
  <si>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</si>
  <si>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</si>
  <si>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</si>
  <si>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</si>
  <si>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</si>
  <si>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</si>
  <si>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</si>
  <si>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</si>
  <si>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</si>
  <si>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</si>
  <si>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</si>
  <si>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</si>
  <si>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</si>
  <si>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</si>
  <si>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</si>
  <si>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</si>
  <si>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</si>
  <si>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</si>
  <si>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</si>
  <si>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</si>
  <si>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</si>
  <si>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</si>
  <si>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</si>
  <si>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</si>
  <si>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</si>
  <si>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</si>
  <si>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</si>
  <si>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</si>
  <si>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</si>
  <si>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</si>
  <si>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</si>
  <si>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</si>
  <si>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</si>
  <si>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</si>
  <si>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</si>
  <si>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</si>
  <si>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</si>
  <si>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</si>
  <si>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</si>
  <si>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</si>
  <si>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</si>
  <si>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</si>
  <si>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</si>
  <si>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</si>
  <si>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</si>
  <si>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</si>
  <si>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</si>
  <si>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</si>
  <si>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</si>
  <si>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</si>
  <si>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</si>
  <si>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</si>
  <si>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</si>
  <si>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</si>
  <si>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</si>
  <si>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</si>
  <si>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</si>
  <si>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</si>
  <si>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</si>
  <si>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</si>
  <si>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</si>
  <si>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</si>
  <si>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</si>
  <si>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</si>
  <si>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</si>
  <si>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</si>
  <si>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</si>
  <si>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</si>
  <si>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</si>
  <si>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</si>
  <si>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</si>
  <si>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</si>
  <si>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</si>
  <si>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</si>
  <si>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</si>
  <si>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</si>
  <si>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</si>
  <si>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</si>
  <si>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</si>
  <si>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</si>
  <si>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</si>
  <si>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</si>
  <si>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</si>
  <si>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</si>
  <si>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</si>
  <si>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</si>
  <si>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</si>
  <si>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</si>
  <si>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</si>
  <si>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</si>
  <si>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</si>
  <si>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</si>
  <si>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</si>
  <si>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</si>
  <si>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</si>
  <si>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</si>
  <si>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</si>
  <si>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</si>
  <si>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</si>
  <si>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</si>
  <si>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</si>
  <si>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</si>
  <si>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</si>
  <si>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</si>
  <si>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</si>
  <si>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</si>
  <si>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</si>
  <si>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</si>
  <si>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</si>
  <si>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</si>
  <si>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</si>
  <si>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</si>
  <si>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</si>
  <si>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</si>
  <si>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</si>
  <si>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</si>
  <si>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</si>
  <si>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</si>
  <si>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</si>
  <si>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</si>
  <si>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</si>
  <si>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</si>
  <si>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</si>
  <si>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</si>
  <si>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</si>
  <si>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</si>
  <si>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</si>
  <si>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</si>
  <si>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</si>
  <si>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</si>
  <si>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</si>
  <si>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</si>
  <si>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</si>
  <si>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</si>
  <si>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</si>
  <si>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</si>
  <si>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</si>
  <si>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</si>
  <si>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</si>
  <si>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</si>
  <si>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</si>
  <si>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</si>
  <si>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</si>
  <si>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</si>
  <si>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</si>
  <si>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</si>
  <si>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</si>
  <si>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</si>
  <si>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</si>
  <si>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</si>
  <si>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</si>
  <si>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</si>
  <si>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</si>
  <si>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</si>
  <si>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</si>
  <si>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</si>
  <si>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</si>
  <si>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</si>
  <si>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</si>
  <si>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</si>
  <si>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</si>
  <si>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</si>
  <si>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</si>
  <si>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</si>
  <si>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</si>
  <si>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</si>
  <si>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</si>
  <si>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</si>
  <si>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</si>
  <si>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</si>
  <si>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</si>
  <si>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</si>
  <si>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</si>
  <si>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</si>
  <si>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</si>
  <si>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</si>
  <si>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</si>
  <si>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</si>
  <si>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</si>
  <si>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</si>
  <si>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</si>
  <si>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</si>
  <si>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</si>
  <si>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</si>
  <si>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</si>
  <si>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</si>
  <si>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</si>
  <si>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</si>
  <si>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</si>
  <si>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</si>
  <si>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</si>
  <si>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</si>
  <si>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</si>
  <si>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</si>
  <si>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</si>
  <si>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</si>
  <si>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</si>
  <si>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</si>
  <si>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</si>
  <si>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</si>
  <si>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</si>
  <si>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</si>
  <si>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</si>
  <si>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</si>
  <si>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</si>
  <si>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</si>
  <si>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</si>
  <si>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</si>
  <si>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</si>
  <si>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</si>
  <si>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</si>
  <si>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</si>
  <si>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</si>
  <si>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</si>
  <si>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</si>
  <si>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</si>
  <si>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</si>
  <si>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</si>
  <si>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</si>
  <si>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</si>
  <si>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</si>
  <si>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</si>
  <si>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</si>
  <si>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</si>
  <si>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</si>
  <si>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</si>
  <si>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</si>
  <si>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</si>
  <si>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</si>
  <si>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</si>
  <si>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</si>
  <si>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</si>
  <si>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</si>
  <si>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</si>
  <si>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</si>
  <si>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</si>
  <si>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</si>
  <si>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</si>
  <si>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</si>
  <si>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</si>
  <si>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</si>
  <si>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</si>
  <si>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</si>
  <si>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</si>
  <si>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</si>
  <si>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</si>
  <si>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</si>
  <si>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</si>
  <si>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</si>
  <si>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</si>
  <si>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</si>
  <si>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</si>
  <si>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</si>
  <si>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</si>
  <si>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</si>
  <si>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</si>
  <si>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</si>
  <si>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</si>
  <si>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</si>
  <si>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</si>
  <si>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</si>
  <si>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</si>
  <si>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</si>
  <si>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</si>
  <si>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</si>
  <si>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</si>
  <si>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</si>
  <si>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</si>
  <si>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</si>
  <si>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</si>
  <si>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</si>
  <si>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</si>
  <si>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</si>
  <si>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</si>
  <si>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</si>
  <si>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</si>
  <si>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</si>
  <si>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</si>
  <si>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</si>
  <si>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</si>
  <si>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</si>
  <si>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</si>
  <si>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</si>
  <si>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</si>
  <si>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</si>
  <si>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</si>
  <si>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</si>
  <si>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</si>
  <si>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</si>
  <si>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</si>
  <si>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</si>
  <si>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</si>
  <si>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</si>
  <si>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</si>
  <si>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</si>
  <si>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</si>
  <si>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</si>
  <si>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</si>
  <si>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</si>
  <si>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</si>
  <si>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</si>
  <si>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</si>
  <si>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</si>
  <si>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</si>
  <si>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</si>
  <si>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</si>
  <si>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</si>
  <si>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</si>
  <si>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</si>
  <si>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</si>
  <si>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</si>
  <si>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</si>
  <si>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</si>
  <si>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</si>
  <si>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</si>
  <si>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</si>
  <si>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</si>
  <si>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</si>
  <si>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</si>
  <si>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</si>
  <si>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</si>
  <si>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</si>
  <si>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</si>
  <si>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</si>
  <si>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</si>
  <si>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</si>
  <si>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</si>
  <si>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</si>
  <si>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</si>
  <si>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</si>
  <si>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</si>
  <si>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</si>
  <si>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</si>
  <si>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</si>
  <si>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</si>
  <si>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</si>
  <si>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</si>
  <si>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</si>
  <si>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</si>
  <si>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</si>
  <si>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</si>
  <si>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</si>
  <si>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</si>
  <si>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</si>
  <si>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</si>
  <si>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</si>
  <si>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</si>
  <si>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</si>
  <si>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</si>
  <si>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</si>
  <si>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</si>
  <si>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</si>
  <si>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</si>
  <si>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</si>
  <si>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</si>
  <si>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</si>
  <si>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</si>
  <si>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</si>
  <si>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</si>
  <si>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</si>
  <si>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</si>
  <si>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</si>
  <si>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</si>
  <si>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</si>
  <si>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</si>
  <si>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</si>
  <si>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</si>
  <si>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</si>
  <si>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</si>
  <si>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</si>
  <si>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</si>
  <si>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</si>
  <si>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</si>
  <si>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</si>
  <si>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</si>
  <si>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</si>
  <si>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</si>
  <si>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</si>
  <si>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</si>
  <si>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</si>
  <si>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</si>
  <si>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</si>
  <si>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</si>
  <si>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</si>
  <si>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</si>
  <si>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</si>
  <si>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</si>
  <si>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</si>
  <si>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</si>
  <si>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</si>
  <si>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</si>
  <si>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</si>
  <si>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</si>
  <si>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</si>
  <si>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</si>
  <si>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</si>
  <si>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</si>
  <si>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</si>
  <si>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</si>
  <si>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</si>
  <si>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</si>
  <si>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</si>
  <si>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</si>
  <si>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</si>
  <si>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</si>
  <si>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</si>
  <si>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</si>
  <si>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</si>
  <si>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</si>
  <si>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</si>
  <si>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</si>
  <si>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</si>
  <si>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</si>
  <si>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</si>
  <si>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</si>
  <si>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</si>
  <si>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</si>
  <si>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</si>
  <si>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</si>
  <si>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</si>
  <si>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</si>
  <si>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</si>
  <si>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</si>
  <si>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</si>
  <si>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</si>
  <si>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</si>
  <si>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</si>
  <si>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</si>
  <si>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</si>
  <si>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</si>
  <si>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</si>
  <si>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</si>
  <si>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</si>
  <si>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</si>
  <si>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</si>
  <si>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</si>
  <si>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</si>
  <si>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</si>
  <si>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</si>
  <si>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</si>
  <si>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</si>
  <si>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</si>
  <si>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</si>
  <si>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</si>
  <si>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</si>
  <si>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</si>
  <si>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</si>
  <si>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</si>
  <si>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</si>
  <si>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</si>
  <si>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</si>
  <si>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</si>
  <si>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</si>
  <si>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</si>
  <si>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</si>
  <si>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</si>
  <si>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</si>
  <si>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</si>
  <si>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</si>
  <si>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</si>
  <si>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</si>
  <si>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</si>
  <si>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</si>
  <si>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</si>
  <si>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</si>
  <si>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</si>
  <si>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</si>
  <si>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</si>
  <si>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</si>
  <si>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</si>
  <si>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</si>
  <si>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</si>
  <si>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</si>
  <si>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</si>
  <si>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</si>
  <si>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</si>
  <si>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</si>
  <si>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</si>
  <si>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</si>
  <si>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</si>
  <si>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</si>
  <si>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</si>
  <si>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</si>
  <si>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</si>
  <si>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</si>
  <si>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</si>
  <si>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</si>
  <si>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</si>
  <si>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</si>
  <si>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</si>
  <si>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</si>
  <si>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</si>
  <si>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</si>
  <si>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</si>
  <si>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</si>
  <si>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</si>
  <si>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</si>
  <si>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</si>
  <si>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</si>
  <si>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</si>
  <si>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</si>
  <si>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</si>
  <si>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</si>
  <si>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</si>
  <si>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</si>
  <si>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</si>
  <si>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</si>
  <si>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</si>
  <si>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</si>
  <si>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</si>
  <si>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</si>
  <si>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</si>
  <si>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</si>
  <si>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</si>
  <si>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</si>
  <si>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</si>
  <si>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</si>
  <si>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</si>
  <si>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</si>
  <si>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</si>
  <si>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</si>
  <si>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</si>
  <si>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</si>
  <si>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</si>
  <si>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</si>
  <si>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</si>
  <si>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</si>
  <si>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</si>
  <si>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</si>
  <si>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</si>
  <si>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</si>
  <si>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</si>
  <si>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</si>
  <si>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</si>
  <si>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</si>
  <si>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</si>
  <si>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</si>
  <si>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</si>
  <si>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</si>
  <si>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</si>
  <si>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</si>
  <si>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</si>
  <si>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</si>
  <si>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</si>
  <si>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</si>
  <si>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</si>
  <si>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</si>
  <si>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</si>
  <si>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</si>
  <si>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</si>
  <si>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</si>
  <si>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</si>
  <si>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</si>
  <si>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</si>
  <si>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</si>
  <si>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</si>
  <si>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</si>
  <si>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</si>
  <si>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</si>
  <si>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</si>
  <si>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</si>
  <si>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</si>
  <si>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</si>
  <si>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</si>
  <si>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</si>
  <si>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</si>
  <si>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</si>
  <si>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</si>
  <si>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</si>
  <si>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</si>
  <si>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</si>
  <si>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</si>
  <si>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</si>
  <si>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</si>
  <si>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</si>
  <si>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</si>
  <si>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</si>
  <si>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</si>
  <si>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</si>
  <si>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</si>
  <si>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</si>
  <si>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</si>
  <si>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</si>
  <si>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</si>
  <si>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</si>
  <si>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</si>
  <si>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</si>
  <si>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</si>
  <si>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</si>
  <si>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</si>
  <si>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</si>
  <si>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</si>
  <si>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</si>
  <si>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</si>
  <si>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</si>
  <si>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</si>
  <si>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</si>
  <si>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</si>
  <si>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</si>
  <si>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</si>
  <si>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</si>
  <si>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</si>
  <si>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</si>
  <si>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</si>
  <si>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</si>
  <si>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</si>
  <si>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</si>
  <si>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</si>
  <si>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</si>
  <si>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</si>
  <si>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</si>
  <si>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</si>
  <si>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</si>
  <si>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</si>
  <si>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</si>
  <si>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</si>
  <si>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</si>
  <si>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</si>
  <si>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</si>
  <si>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</si>
  <si>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</si>
  <si>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</si>
  <si>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</si>
  <si>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</si>
  <si>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</si>
  <si>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</si>
  <si>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</si>
  <si>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</si>
  <si>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</si>
  <si>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</si>
  <si>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</si>
  <si>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</si>
  <si>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</si>
  <si>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</si>
  <si>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</si>
  <si>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</si>
  <si>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</si>
  <si>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</si>
  <si>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</si>
  <si>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</si>
  <si>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</si>
  <si>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</si>
  <si>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</si>
  <si>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</si>
  <si>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</si>
  <si>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</si>
  <si>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</si>
  <si>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</si>
  <si>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</si>
  <si>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</si>
  <si>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</si>
  <si>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</si>
  <si>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</si>
  <si>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</si>
  <si>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</si>
  <si>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</si>
  <si>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</si>
  <si>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</si>
  <si>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</si>
  <si>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</si>
  <si>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</si>
  <si>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</si>
  <si>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</si>
  <si>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</si>
  <si>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</si>
  <si>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</si>
  <si>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</si>
  <si>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</si>
  <si>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</si>
  <si>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</si>
  <si>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</si>
  <si>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</si>
  <si>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</si>
  <si>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</si>
  <si>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</si>
  <si>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</si>
  <si>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</si>
  <si>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</si>
  <si>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</si>
  <si>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</si>
  <si>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</si>
  <si>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</si>
  <si>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</si>
  <si>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</si>
  <si>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</si>
  <si>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</si>
  <si>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</si>
  <si>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</si>
  <si>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</si>
  <si>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</si>
  <si>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</si>
  <si>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</si>
  <si>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</si>
  <si>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</si>
  <si>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</si>
  <si>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</si>
  <si>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</si>
  <si>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</si>
  <si>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</si>
  <si>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</si>
  <si>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</si>
  <si>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</si>
  <si>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</si>
  <si>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</si>
  <si>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</si>
  <si>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</si>
  <si>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</si>
  <si>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</si>
  <si>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</si>
  <si>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</si>
  <si>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</si>
  <si>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</si>
  <si>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</si>
  <si>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</si>
  <si>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</si>
  <si>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</si>
  <si>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</si>
  <si>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</si>
  <si>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</si>
  <si>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</si>
  <si>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</si>
  <si>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</si>
  <si>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</si>
  <si>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</si>
  <si>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</si>
  <si>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</si>
  <si>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</si>
  <si>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</si>
  <si>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</si>
  <si>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</si>
  <si>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</si>
  <si>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</si>
  <si>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</si>
  <si>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</si>
  <si>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</si>
  <si>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</si>
  <si>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</si>
  <si>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</si>
  <si>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</si>
  <si>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</si>
  <si>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</si>
  <si>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</si>
  <si>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</si>
  <si>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</si>
  <si>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</si>
  <si>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</si>
  <si>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</si>
  <si>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</si>
  <si>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</si>
  <si>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</si>
  <si>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</si>
  <si>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</si>
  <si>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</si>
  <si>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</si>
  <si>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</si>
  <si>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</si>
  <si>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</si>
  <si>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</si>
  <si>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</si>
  <si>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</si>
  <si>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</si>
  <si>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</si>
  <si>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</si>
  <si>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</si>
  <si>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</si>
  <si>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</si>
  <si>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</si>
  <si>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</si>
  <si>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</si>
  <si>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</si>
  <si>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</si>
  <si>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</si>
  <si>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</si>
  <si>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</si>
  <si>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</si>
  <si>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</si>
  <si>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</si>
  <si>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</si>
  <si>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</si>
  <si>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</si>
  <si>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</si>
  <si>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</si>
  <si>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</si>
  <si>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</si>
  <si>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</si>
  <si>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</si>
  <si>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</si>
  <si>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</si>
  <si>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</si>
  <si>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</si>
  <si>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</si>
  <si>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</si>
  <si>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</si>
  <si>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</si>
  <si>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</si>
  <si>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</si>
  <si>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</si>
  <si>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</si>
  <si>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</si>
  <si>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</si>
  <si>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</si>
  <si>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</si>
  <si>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</si>
  <si>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</si>
  <si>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</si>
  <si>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</si>
  <si>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</si>
  <si>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</si>
  <si>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</si>
  <si>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</si>
  <si>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</si>
  <si>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</si>
  <si>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</si>
  <si>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</si>
  <si>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</si>
  <si>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</si>
  <si>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</si>
  <si>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</si>
  <si>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</si>
  <si>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</si>
  <si>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</si>
  <si>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</si>
  <si>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</si>
  <si>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</si>
  <si>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</si>
  <si>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</si>
  <si>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</si>
  <si>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</si>
  <si>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</si>
  <si>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</si>
  <si>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</si>
  <si>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</si>
  <si>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</si>
  <si>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</si>
  <si>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</si>
  <si>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</si>
  <si>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</si>
  <si>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</si>
  <si>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</si>
  <si>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</si>
  <si>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</si>
  <si>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</si>
  <si>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</si>
  <si>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</si>
  <si>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</si>
  <si>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</si>
  <si>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</si>
  <si>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</si>
  <si>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</si>
  <si>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</si>
  <si>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</si>
  <si>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</si>
  <si>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</si>
  <si>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</si>
  <si>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</si>
  <si>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</si>
  <si>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</si>
  <si>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</si>
  <si>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</si>
  <si>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</si>
  <si>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</si>
  <si>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</si>
  <si>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</si>
  <si>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</si>
  <si>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</si>
  <si>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</si>
  <si>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</si>
  <si>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</si>
  <si>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</si>
  <si>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</si>
  <si>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</si>
  <si>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</si>
  <si>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</si>
  <si>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</si>
  <si>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</si>
  <si>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</si>
  <si>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</si>
  <si>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</si>
  <si>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</si>
  <si>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</si>
  <si>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</si>
  <si>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</si>
  <si>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</si>
  <si>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</si>
  <si>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</si>
  <si>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</si>
  <si>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</si>
  <si>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</si>
  <si>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</si>
  <si>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</si>
  <si>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</si>
  <si>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</si>
  <si>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</si>
  <si>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</si>
  <si>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</si>
  <si>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</si>
  <si>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</si>
  <si>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</si>
  <si>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</si>
  <si>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</si>
  <si>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</si>
  <si>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</si>
  <si>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</si>
  <si>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</si>
  <si>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</si>
  <si>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</si>
  <si>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</si>
  <si>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</si>
  <si>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</si>
  <si>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</si>
  <si>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</si>
  <si>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</si>
  <si>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</si>
  <si>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</si>
  <si>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</si>
  <si>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</si>
  <si>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</si>
  <si>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</si>
  <si>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</si>
  <si>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</si>
  <si>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</si>
  <si>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</si>
  <si>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</si>
  <si>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</si>
  <si>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</si>
  <si>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</si>
  <si>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</si>
  <si>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</si>
  <si>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</si>
  <si>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</si>
  <si>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</si>
  <si>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</si>
  <si>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</si>
  <si>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</si>
  <si>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</si>
  <si>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</si>
  <si>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</si>
  <si>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</si>
  <si>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</si>
  <si>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</si>
  <si>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</si>
  <si>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</si>
  <si>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</si>
  <si>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</si>
  <si>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</si>
  <si>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</si>
  <si>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</si>
  <si>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</si>
  <si>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</si>
  <si>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</si>
  <si>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</si>
  <si>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</si>
  <si>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</si>
  <si>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</si>
  <si>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</si>
  <si>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</si>
  <si>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</si>
  <si>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</si>
  <si>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</si>
  <si>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</si>
  <si>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</si>
  <si>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</si>
  <si>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</si>
  <si>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</si>
  <si>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</si>
  <si>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</si>
  <si>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</si>
  <si>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</si>
  <si>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</si>
  <si>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</si>
  <si>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</si>
  <si>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</si>
  <si>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</si>
  <si>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</si>
  <si>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</si>
  <si>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</si>
  <si>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</si>
  <si>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</si>
  <si>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</si>
  <si>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</si>
  <si>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</si>
  <si>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</si>
  <si>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</si>
  <si>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</si>
  <si>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</si>
  <si>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</si>
  <si>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</si>
  <si>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</si>
  <si>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</si>
  <si>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</si>
  <si>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</si>
  <si>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</si>
  <si>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</si>
  <si>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</si>
  <si>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</si>
  <si>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</si>
  <si>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</si>
  <si>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</si>
  <si>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</si>
  <si>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</si>
  <si>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</si>
  <si>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</si>
  <si>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</si>
  <si>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</si>
  <si>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</si>
  <si>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</si>
  <si>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</si>
  <si>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</si>
  <si>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</si>
  <si>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</si>
  <si>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</si>
  <si>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</si>
  <si>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</si>
  <si>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</si>
  <si>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</si>
  <si>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</si>
  <si>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</si>
  <si>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</si>
  <si>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</si>
  <si>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</si>
  <si>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</si>
  <si>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</si>
  <si>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</si>
  <si>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</si>
  <si>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</si>
  <si>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</si>
  <si>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</si>
  <si>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</si>
  <si>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</si>
  <si>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</si>
  <si>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</si>
  <si>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</si>
  <si>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</si>
  <si>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</si>
  <si>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</si>
  <si>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</si>
  <si>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</si>
  <si>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</si>
  <si>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</si>
  <si>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</si>
  <si>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</si>
  <si>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</si>
  <si>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</si>
  <si>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</si>
  <si>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</si>
  <si>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</si>
  <si>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</si>
  <si>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</si>
  <si>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</si>
  <si>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</si>
  <si>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</si>
  <si>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</si>
  <si>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</si>
  <si>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</si>
  <si>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</si>
  <si>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</si>
  <si>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</si>
  <si>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</si>
  <si>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</si>
  <si>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</si>
  <si>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</si>
  <si>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</si>
  <si>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</si>
  <si>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</si>
  <si>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</si>
  <si>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</si>
  <si>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</si>
  <si>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</si>
  <si>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</si>
  <si>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</si>
  <si>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</si>
  <si>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</si>
  <si>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</si>
  <si>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</si>
  <si>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</si>
  <si>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</si>
  <si>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</si>
  <si>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</si>
  <si>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</si>
  <si>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</si>
  <si>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</si>
  <si>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</si>
  <si>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</si>
  <si>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</si>
  <si>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</si>
  <si>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</si>
  <si>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</si>
  <si>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</si>
  <si>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</si>
  <si>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</si>
  <si>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</si>
  <si>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</si>
  <si>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</si>
  <si>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</si>
  <si>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</si>
  <si>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</si>
  <si>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</si>
  <si>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</si>
  <si>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</si>
  <si>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</si>
  <si>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</si>
  <si>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</si>
  <si>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</si>
  <si>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</si>
  <si>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</si>
  <si>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</si>
  <si>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</si>
  <si>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</si>
  <si>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</si>
  <si>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</si>
  <si>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</si>
  <si>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</si>
  <si>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</si>
  <si>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</si>
  <si>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</si>
  <si>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</si>
  <si>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</si>
  <si>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</si>
  <si>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</si>
  <si>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</si>
  <si>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</si>
  <si>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</si>
  <si>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</si>
  <si>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</si>
  <si>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</si>
  <si>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</si>
  <si>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</si>
  <si>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</si>
  <si>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</si>
  <si>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</si>
  <si>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</si>
  <si>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</si>
  <si>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</si>
  <si>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</si>
  <si>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</si>
  <si>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</si>
  <si>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</si>
  <si>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</si>
  <si>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</si>
  <si>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</si>
  <si>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</si>
  <si>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</si>
  <si>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</si>
  <si>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</si>
  <si>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</si>
  <si>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</si>
  <si>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</si>
  <si>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</si>
  <si>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</si>
  <si>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</si>
  <si>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</si>
  <si>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</si>
  <si>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</si>
  <si>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</si>
  <si>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</si>
  <si>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</si>
  <si>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</si>
  <si>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</si>
  <si>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</si>
  <si>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</si>
  <si>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</si>
  <si>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</si>
  <si>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</si>
  <si>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</si>
  <si>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</si>
  <si>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</si>
  <si>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</si>
  <si>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</si>
  <si>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</si>
  <si>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</si>
  <si>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</si>
  <si>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</si>
  <si>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</si>
  <si>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</si>
  <si>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</si>
  <si>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</si>
  <si>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</si>
  <si>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</si>
  <si>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</si>
  <si>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</si>
  <si>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</si>
  <si>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</si>
  <si>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</si>
  <si>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</si>
  <si>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</si>
  <si>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</si>
  <si>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</si>
  <si>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</si>
  <si>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</si>
  <si>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</si>
  <si>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</si>
  <si>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</si>
  <si>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</si>
  <si>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</si>
  <si>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</si>
  <si>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</si>
  <si>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</si>
  <si>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</si>
  <si>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</si>
  <si>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</si>
  <si>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</si>
  <si>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</si>
  <si>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</si>
  <si>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</si>
  <si>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</si>
  <si>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</si>
  <si>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</si>
  <si>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</si>
  <si>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</si>
  <si>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</si>
  <si>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</si>
  <si>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</si>
  <si>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</si>
  <si>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</si>
  <si>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</si>
  <si>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</si>
  <si>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</si>
  <si>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</si>
  <si>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</si>
  <si>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</si>
  <si>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</si>
  <si>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</si>
  <si>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</si>
  <si>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</si>
  <si>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</si>
  <si>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</si>
  <si>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</si>
  <si>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</si>
  <si>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</si>
  <si>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</si>
  <si>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</si>
  <si>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</si>
  <si>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</si>
  <si>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</si>
  <si>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</si>
  <si>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</si>
  <si>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</si>
  <si>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</si>
  <si>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</si>
  <si>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</si>
  <si>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</si>
  <si>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</si>
  <si>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</si>
  <si>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</si>
  <si>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</si>
  <si>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</si>
  <si>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</si>
  <si>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</si>
  <si>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</si>
  <si>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</si>
  <si>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</si>
  <si>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</si>
  <si>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</si>
  <si>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</si>
  <si>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</si>
  <si>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</si>
  <si>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</si>
  <si>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</si>
  <si>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</si>
  <si>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</si>
  <si>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</si>
  <si>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</si>
  <si>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</si>
  <si>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</si>
  <si>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</si>
  <si>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</si>
  <si>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</si>
  <si>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</si>
  <si>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</si>
  <si>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</si>
  <si>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</si>
  <si>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</si>
  <si>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</si>
  <si>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</si>
  <si>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</si>
  <si>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</si>
  <si>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</si>
  <si>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</si>
  <si>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</si>
  <si>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</si>
  <si>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</si>
  <si>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</si>
  <si>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</si>
  <si>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</si>
  <si>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</si>
  <si>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</si>
  <si>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</si>
  <si>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</si>
  <si>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</si>
  <si>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</si>
  <si>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</si>
  <si>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</si>
  <si>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</si>
  <si>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</si>
  <si>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</si>
  <si>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</si>
  <si>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</si>
  <si>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</si>
  <si>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</si>
  <si>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</si>
  <si>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</si>
  <si>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</si>
  <si>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</si>
  <si>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</si>
  <si>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</si>
  <si>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</si>
  <si>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</si>
  <si>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</si>
  <si>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</si>
  <si>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</si>
  <si>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</si>
  <si>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</si>
  <si>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</si>
  <si>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</si>
  <si>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</si>
  <si>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</si>
  <si>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</si>
  <si>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</si>
  <si>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</si>
  <si>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</si>
  <si>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</si>
  <si>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</si>
  <si>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</si>
  <si>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</si>
  <si>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</si>
  <si>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</si>
  <si>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</si>
  <si>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</si>
  <si>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</si>
  <si>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</si>
  <si>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</si>
  <si>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</si>
  <si>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</si>
  <si>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</si>
  <si>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</si>
  <si>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</si>
  <si>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</si>
  <si>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</si>
  <si>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</si>
  <si>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</si>
  <si>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</si>
  <si>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</si>
  <si>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</si>
  <si>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</si>
  <si>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</si>
  <si>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</si>
  <si>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</si>
  <si>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</si>
  <si>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</si>
  <si>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</si>
  <si>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</si>
  <si>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</si>
  <si>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</si>
  <si>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</si>
  <si>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</si>
  <si>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</si>
  <si>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</si>
  <si>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</si>
  <si>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</si>
  <si>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</si>
  <si>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</si>
  <si>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</si>
  <si>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</si>
  <si>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</si>
  <si>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</si>
  <si>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</si>
  <si>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</si>
  <si>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</si>
  <si>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</si>
  <si>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</si>
  <si>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</si>
  <si>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</si>
  <si>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</si>
  <si>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</si>
  <si>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</si>
  <si>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</si>
  <si>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</si>
  <si>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</si>
  <si>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</si>
  <si>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</si>
  <si>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</si>
  <si>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</si>
  <si>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</si>
  <si>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</si>
  <si>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</si>
  <si>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</si>
  <si>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</si>
  <si>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</si>
  <si>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</si>
  <si>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</si>
  <si>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</si>
  <si>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</si>
  <si>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</si>
  <si>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</si>
  <si>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</si>
  <si>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</si>
  <si>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</si>
  <si>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</si>
  <si>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</si>
  <si>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</si>
  <si>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</si>
  <si>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</si>
  <si>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</si>
  <si>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</si>
  <si>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</si>
  <si>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</si>
  <si>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</si>
  <si>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</si>
  <si>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</si>
  <si>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</si>
  <si>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</si>
  <si>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</si>
  <si>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</si>
  <si>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</si>
  <si>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</si>
  <si>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</si>
  <si>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</si>
  <si>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</si>
  <si>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</si>
  <si>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</si>
  <si>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</si>
  <si>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</si>
  <si>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</si>
  <si>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</si>
  <si>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</si>
  <si>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</si>
  <si>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</si>
  <si>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</si>
  <si>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</si>
  <si>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</si>
  <si>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</si>
  <si>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</si>
  <si>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</si>
  <si>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</si>
  <si>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</si>
  <si>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</si>
  <si>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</si>
  <si>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</si>
  <si>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</si>
  <si>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</si>
  <si>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</si>
  <si>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</si>
  <si>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</si>
  <si>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</si>
  <si>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</si>
  <si>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</si>
  <si>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</si>
  <si>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</si>
  <si>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</si>
  <si>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</si>
  <si>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</si>
  <si>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</si>
  <si>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</si>
  <si>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</si>
  <si>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</si>
  <si>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</si>
  <si>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</si>
  <si>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</si>
  <si>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</si>
  <si>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</si>
  <si>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</si>
  <si>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</si>
  <si>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</si>
  <si>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</si>
  <si>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</si>
  <si>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</si>
  <si>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</si>
  <si>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</si>
  <si>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</si>
  <si>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</si>
  <si>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</si>
  <si>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</si>
  <si>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</si>
  <si>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</si>
  <si>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</si>
  <si>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</si>
  <si>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</si>
  <si>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</si>
  <si>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</si>
  <si>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</si>
  <si>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</si>
  <si>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</si>
  <si>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</si>
  <si>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</si>
  <si>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</si>
  <si>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</si>
  <si>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</si>
  <si>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</si>
  <si>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</si>
  <si>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</si>
  <si>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</si>
  <si>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</si>
  <si>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</si>
  <si>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</si>
  <si>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</si>
  <si>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</si>
  <si>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</si>
  <si>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</si>
  <si>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</si>
  <si>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</si>
  <si>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</si>
  <si>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</si>
  <si>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</si>
  <si>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</si>
  <si>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</si>
  <si>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</si>
  <si>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</si>
  <si>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</si>
  <si>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</si>
  <si>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</si>
  <si>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</si>
  <si>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</si>
  <si>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</si>
  <si>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</si>
  <si>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</si>
  <si>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</si>
  <si>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</si>
  <si>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</si>
  <si>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</si>
  <si>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</si>
  <si>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</si>
  <si>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</si>
  <si>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</si>
  <si>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</si>
  <si>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</si>
  <si>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</si>
  <si>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</si>
  <si>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</si>
  <si>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</si>
  <si>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</si>
  <si>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</si>
  <si>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</si>
  <si>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</si>
  <si>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</si>
  <si>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</si>
  <si>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</si>
  <si>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</si>
  <si>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</si>
  <si>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</si>
  <si>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</si>
  <si>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</si>
  <si>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</si>
  <si>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</si>
  <si>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</si>
  <si>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</si>
  <si>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</si>
  <si>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</si>
  <si>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</si>
  <si>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</si>
  <si>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</si>
  <si>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</si>
  <si>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</si>
  <si>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</si>
  <si>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</si>
  <si>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</si>
  <si>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</si>
  <si>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</si>
  <si>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</si>
  <si>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</si>
  <si>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</si>
  <si>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</si>
  <si>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</si>
  <si>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</si>
  <si>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</si>
  <si>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</si>
  <si>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</si>
  <si>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</si>
  <si>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</si>
  <si>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</si>
  <si>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</si>
  <si>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</si>
  <si>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</si>
  <si>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</si>
  <si>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</si>
  <si>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</si>
  <si>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</si>
  <si>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</si>
  <si>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</si>
  <si>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</si>
  <si>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</si>
  <si>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</si>
  <si>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</si>
  <si>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</si>
  <si>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</si>
  <si>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</si>
  <si>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</si>
  <si>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</si>
  <si>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</si>
  <si>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</si>
  <si>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</si>
  <si>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</si>
  <si>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</si>
  <si>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</si>
  <si>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</si>
  <si>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</si>
  <si>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</si>
  <si>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</si>
  <si>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</si>
  <si>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</si>
  <si>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</si>
  <si>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</si>
  <si>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</si>
  <si>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</si>
  <si>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</si>
  <si>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</si>
  <si>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</si>
  <si>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</si>
  <si>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</si>
  <si>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</si>
  <si>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</si>
  <si>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</si>
  <si>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</si>
  <si>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</si>
  <si>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</si>
  <si>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</si>
  <si>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</si>
  <si>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</si>
  <si>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</si>
  <si>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</si>
  <si>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</si>
  <si>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</si>
  <si>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</si>
  <si>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</si>
  <si>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</si>
  <si>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</si>
  <si>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</si>
  <si>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</si>
  <si>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</si>
  <si>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</si>
  <si>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</si>
  <si>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</si>
  <si>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</si>
  <si>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</si>
  <si>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</si>
  <si>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</si>
  <si>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</si>
  <si>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</si>
  <si>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</si>
  <si>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</si>
  <si>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</si>
  <si>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</si>
  <si>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</si>
  <si>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</si>
  <si>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</si>
  <si>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</si>
  <si>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</si>
  <si>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</si>
  <si>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</si>
  <si>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</si>
  <si>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</si>
  <si>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</si>
  <si>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</si>
  <si>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</si>
  <si>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</si>
  <si>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</si>
  <si>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</si>
  <si>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</si>
  <si>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</si>
  <si>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</si>
  <si>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</si>
  <si>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</si>
  <si>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</si>
  <si>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</si>
  <si>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</si>
  <si>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</si>
  <si>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</si>
  <si>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</si>
  <si>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</si>
  <si>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</si>
  <si>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</si>
  <si>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</si>
  <si>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</si>
  <si>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</si>
  <si>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</si>
  <si>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</si>
  <si>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</si>
  <si>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</si>
  <si>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</si>
  <si>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</si>
  <si>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</si>
  <si>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</si>
  <si>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</si>
  <si>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</si>
  <si>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</si>
  <si>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</si>
  <si>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</si>
  <si>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</si>
  <si>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</si>
  <si>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</si>
  <si>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</si>
  <si>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</si>
  <si>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</si>
  <si>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</si>
  <si>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</si>
  <si>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</si>
  <si>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</si>
  <si>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</si>
  <si>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</si>
  <si>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</si>
  <si>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</si>
  <si>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</si>
  <si>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</si>
  <si>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</si>
  <si>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</si>
  <si>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</si>
  <si>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</si>
  <si>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</si>
  <si>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</si>
  <si>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</si>
  <si>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</si>
  <si>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</si>
  <si>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</si>
  <si>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</si>
  <si>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</si>
  <si>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</si>
  <si>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</si>
  <si>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</si>
  <si>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</si>
  <si>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</si>
  <si>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</si>
  <si>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</si>
  <si>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</si>
  <si>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</si>
  <si>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</si>
  <si>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</si>
  <si>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</si>
  <si>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</si>
  <si>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</si>
  <si>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</si>
  <si>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</si>
  <si>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</si>
  <si>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</si>
  <si>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</si>
  <si>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</si>
  <si>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</si>
  <si>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</si>
  <si>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</si>
  <si>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</si>
  <si>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</si>
  <si>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</si>
  <si>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</si>
  <si>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</si>
  <si>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</si>
  <si>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</si>
  <si>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</si>
  <si>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</si>
  <si>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</si>
  <si>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</si>
  <si>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</si>
  <si>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</si>
  <si>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</si>
  <si>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</si>
  <si>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</si>
  <si>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</si>
  <si>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</si>
  <si>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</si>
  <si>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</si>
  <si>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</si>
  <si>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</si>
  <si>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</si>
  <si>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</si>
  <si>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</si>
  <si>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</si>
  <si>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</si>
  <si>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</si>
  <si>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</si>
  <si>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</si>
  <si>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</si>
  <si>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</si>
  <si>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</si>
  <si>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</si>
  <si>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</si>
  <si>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</si>
  <si>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</si>
  <si>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</si>
  <si>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</si>
  <si>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</si>
  <si>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</si>
  <si>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</si>
  <si>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</si>
  <si>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</si>
  <si>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</si>
  <si>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</si>
  <si>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</si>
  <si>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</si>
  <si>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</si>
  <si>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</si>
  <si>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</si>
  <si>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</si>
  <si>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</si>
  <si>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</si>
  <si>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</si>
  <si>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</si>
  <si>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</si>
  <si>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</si>
  <si>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</si>
  <si>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</si>
  <si>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</si>
  <si>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</si>
  <si>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</si>
  <si>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</si>
  <si>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</si>
  <si>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</si>
  <si>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</si>
  <si>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</si>
  <si>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</si>
  <si>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</si>
  <si>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</si>
  <si>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</si>
  <si>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</si>
  <si>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</si>
  <si>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</si>
  <si>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</si>
  <si>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</si>
  <si>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</si>
  <si>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</si>
  <si>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</si>
  <si>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</si>
  <si>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</si>
  <si>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</si>
  <si>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</si>
  <si>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</si>
  <si>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</si>
  <si>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</si>
  <si>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</si>
  <si>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</si>
  <si>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</si>
  <si>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</si>
  <si>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</si>
  <si>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</si>
  <si>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</si>
  <si>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</si>
  <si>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</si>
  <si>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</si>
  <si>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</si>
  <si>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</si>
  <si>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</si>
  <si>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</si>
  <si>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</si>
  <si>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</si>
  <si>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</si>
  <si>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</si>
  <si>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</si>
  <si>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</si>
  <si>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</si>
  <si>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</si>
  <si>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</si>
  <si>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</si>
  <si>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</si>
  <si>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</si>
  <si>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</si>
  <si>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</si>
  <si>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</si>
  <si>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</si>
  <si>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</si>
  <si>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</si>
  <si>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</si>
  <si>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</si>
  <si>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</si>
  <si>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</si>
  <si>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</si>
  <si>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</si>
  <si>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</si>
  <si>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</si>
  <si>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</si>
  <si>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</si>
  <si>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</si>
  <si>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</si>
  <si>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</si>
  <si>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</si>
  <si>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</si>
  <si>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</si>
  <si>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</si>
  <si>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</si>
  <si>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</si>
  <si>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</si>
  <si>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</si>
  <si>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</si>
  <si>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</si>
  <si>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</si>
  <si>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</si>
  <si>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</si>
  <si>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</si>
  <si>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</si>
  <si>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</si>
  <si>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</si>
  <si>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</si>
  <si>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</si>
  <si>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</si>
  <si>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</si>
  <si>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</si>
  <si>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</si>
  <si>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</si>
  <si>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</si>
  <si>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</si>
  <si>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</si>
  <si>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</si>
  <si>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</si>
  <si>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</si>
  <si>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</si>
  <si>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</si>
  <si>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</si>
  <si>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</si>
  <si>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</si>
  <si>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</si>
  <si>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</si>
  <si>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</si>
  <si>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</si>
  <si>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</si>
  <si>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</si>
  <si>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</si>
  <si>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</si>
  <si>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</si>
  <si>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</si>
  <si>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</si>
  <si>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</si>
  <si>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</si>
  <si>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</si>
  <si>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</si>
  <si>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</si>
  <si>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</si>
  <si>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</si>
  <si>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</si>
  <si>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</si>
  <si>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</si>
  <si>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</si>
  <si>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</si>
  <si>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</si>
  <si>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</si>
  <si>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</si>
  <si>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</si>
  <si>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</si>
  <si>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</si>
  <si>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</si>
  <si>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</si>
  <si>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</si>
  <si>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</si>
  <si>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</si>
  <si>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</si>
  <si>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</si>
  <si>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</si>
  <si>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</si>
  <si>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</si>
  <si>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</si>
  <si>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</si>
  <si>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</si>
  <si>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</si>
  <si>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</si>
  <si>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</si>
  <si>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</si>
  <si>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</si>
  <si>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</si>
  <si>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</si>
  <si>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</si>
  <si>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</si>
  <si>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</si>
  <si>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</si>
  <si>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</si>
  <si>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</si>
  <si>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</si>
  <si>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</si>
  <si>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</si>
  <si>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</si>
  <si>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</si>
  <si>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</si>
  <si>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</si>
  <si>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</si>
  <si>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</si>
  <si>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</si>
  <si>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</si>
  <si>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</si>
  <si>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</si>
  <si>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</si>
  <si>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</si>
  <si>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</si>
  <si>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</si>
  <si>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</si>
  <si>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</si>
  <si>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</si>
  <si>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</si>
  <si>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</si>
  <si>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</si>
  <si>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</si>
  <si>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</si>
  <si>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</si>
  <si>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</si>
  <si>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</si>
  <si>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</si>
  <si>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</si>
  <si>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</si>
  <si>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</si>
  <si>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</si>
  <si>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</si>
  <si>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</si>
  <si>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</si>
  <si>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</si>
  <si>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</si>
  <si>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</si>
  <si>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</si>
  <si>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</si>
  <si>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</si>
  <si>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</si>
  <si>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</si>
  <si>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</si>
  <si>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</si>
  <si>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</si>
  <si>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</si>
  <si>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</si>
  <si>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</si>
  <si>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</si>
  <si>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</si>
  <si>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</si>
  <si>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</si>
  <si>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</si>
  <si>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</si>
  <si>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</si>
  <si>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</si>
  <si>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</si>
  <si>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</si>
  <si>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</si>
  <si>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</si>
  <si>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</si>
  <si>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</si>
  <si>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</si>
  <si>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</si>
  <si>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</si>
  <si>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</si>
  <si>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</si>
  <si>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</si>
  <si>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</si>
  <si>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</si>
  <si>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</si>
  <si>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</si>
  <si>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</si>
  <si>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</si>
  <si>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</si>
  <si>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</si>
  <si>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</si>
  <si>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</si>
  <si>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</si>
  <si>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</si>
  <si>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</si>
  <si>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</si>
  <si>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</si>
  <si>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</si>
  <si>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</si>
  <si>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</si>
  <si>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</si>
  <si>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</si>
  <si>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</si>
  <si>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</si>
  <si>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</si>
  <si>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</si>
  <si>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</si>
  <si>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</si>
  <si>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</si>
  <si>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</si>
  <si>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</si>
  <si>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</si>
  <si>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</si>
  <si>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</si>
  <si>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</si>
  <si>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</si>
  <si>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</si>
  <si>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</si>
  <si>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</si>
  <si>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</si>
  <si>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</si>
  <si>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</si>
  <si>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</si>
  <si>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</si>
  <si>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</si>
  <si>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</si>
  <si>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</si>
  <si>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</si>
  <si>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</si>
  <si>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</si>
  <si>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</si>
  <si>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</si>
  <si>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</si>
  <si>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</si>
  <si>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</si>
  <si>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</si>
  <si>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</si>
  <si>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</si>
  <si>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</si>
  <si>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</si>
  <si>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</si>
  <si>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</si>
  <si>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</si>
  <si>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</si>
  <si>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</si>
  <si>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</si>
  <si>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</si>
  <si>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</si>
  <si>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</si>
  <si>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</si>
  <si>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</si>
  <si>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</si>
  <si>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</si>
  <si>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</si>
  <si>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</si>
  <si>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</si>
  <si>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</si>
  <si>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</si>
  <si>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</si>
  <si>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</si>
  <si>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</si>
  <si>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</si>
  <si>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</si>
  <si>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</si>
  <si>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</si>
  <si>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</si>
  <si>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</si>
  <si>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</si>
  <si>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</si>
  <si>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</si>
  <si>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</si>
  <si>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</si>
  <si>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</si>
  <si>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</si>
  <si>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</si>
  <si>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</si>
  <si>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</si>
  <si>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</si>
  <si>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</si>
  <si>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</si>
  <si>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</si>
  <si>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</si>
  <si>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</si>
  <si>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</si>
  <si>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</si>
  <si>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</si>
  <si>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</si>
  <si>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</si>
  <si>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</si>
  <si>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</si>
  <si>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</si>
  <si>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</si>
  <si>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</si>
  <si>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</si>
  <si>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</si>
  <si>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</si>
  <si>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</si>
  <si>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</si>
  <si>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</si>
  <si>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</si>
  <si>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</si>
  <si>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</si>
  <si>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</si>
  <si>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</si>
  <si>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</si>
  <si>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</si>
  <si>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</si>
  <si>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</si>
  <si>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</si>
  <si>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</si>
  <si>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</si>
  <si>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</si>
  <si>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</si>
  <si>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</si>
  <si>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</si>
  <si>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</si>
  <si>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</si>
  <si>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</si>
  <si>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</si>
  <si>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</si>
  <si>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</si>
  <si>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</si>
  <si>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</si>
  <si>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</si>
  <si>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</si>
  <si>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</si>
  <si>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</si>
  <si>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</si>
  <si>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</si>
  <si>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</si>
  <si>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</si>
  <si>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</si>
  <si>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</si>
  <si>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</si>
  <si>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</si>
  <si>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</si>
  <si>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</si>
  <si>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</si>
  <si>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</si>
  <si>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</si>
  <si>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</si>
  <si>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</si>
  <si>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</si>
  <si>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</si>
  <si>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</si>
  <si>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</si>
  <si>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</si>
  <si>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</si>
  <si>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</si>
  <si>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</si>
  <si>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</si>
  <si>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</si>
  <si>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</si>
  <si>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</si>
  <si>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</si>
  <si>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</si>
  <si>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</si>
  <si>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</si>
  <si>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</si>
  <si>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</si>
  <si>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</si>
  <si>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</si>
  <si>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</si>
  <si>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</si>
  <si>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</si>
  <si>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</si>
  <si>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</si>
  <si>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</si>
  <si>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</si>
  <si>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</si>
  <si>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</si>
  <si>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</si>
  <si>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</si>
  <si>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</si>
  <si>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</si>
  <si>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</si>
  <si>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</si>
  <si>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</si>
  <si>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</si>
  <si>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</si>
  <si>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</si>
  <si>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</si>
  <si>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</si>
  <si>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</si>
  <si>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</si>
  <si>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</si>
  <si>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</si>
  <si>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</si>
  <si>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</si>
  <si>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</si>
  <si>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</si>
  <si>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</si>
  <si>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</si>
  <si>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</si>
  <si>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</si>
  <si>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</si>
  <si>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</si>
  <si>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</si>
  <si>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</si>
  <si>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</si>
  <si>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</si>
  <si>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</si>
  <si>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</si>
  <si>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</si>
  <si>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</si>
  <si>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</si>
  <si>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</si>
  <si>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</si>
  <si>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</si>
  <si>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</si>
  <si>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</si>
  <si>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</si>
  <si>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</si>
  <si>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</si>
  <si>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</si>
  <si>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</si>
  <si>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</si>
  <si>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</si>
  <si>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</si>
  <si>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</si>
  <si>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</si>
  <si>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</si>
  <si>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</si>
  <si>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</si>
  <si>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</si>
  <si>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</si>
  <si>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</si>
  <si>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</si>
  <si>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</si>
  <si>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</si>
  <si>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</si>
  <si>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</si>
  <si>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</si>
  <si>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</si>
  <si>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</si>
  <si>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</si>
  <si>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</si>
  <si>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</si>
  <si>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</si>
  <si>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</si>
  <si>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</si>
  <si>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</si>
  <si>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</si>
  <si>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</si>
  <si>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</si>
  <si>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</si>
  <si>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</si>
  <si>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</si>
  <si>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</si>
  <si>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</si>
  <si>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</si>
  <si>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</si>
  <si>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</si>
  <si>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</si>
  <si>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</si>
  <si>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</si>
  <si>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</si>
  <si>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</si>
  <si>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</si>
  <si>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</si>
  <si>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</si>
  <si>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</si>
  <si>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</si>
  <si>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</si>
  <si>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</si>
  <si>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</si>
  <si>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</si>
  <si>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</si>
  <si>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</si>
  <si>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</si>
  <si>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</si>
  <si>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</si>
  <si>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</si>
  <si>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</si>
  <si>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</si>
  <si>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</si>
  <si>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</si>
  <si>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</si>
  <si>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</si>
  <si>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</si>
  <si>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</si>
  <si>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</si>
  <si>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</si>
  <si>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</si>
  <si>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</si>
  <si>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</si>
  <si>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</si>
  <si>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</si>
  <si>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</si>
  <si>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</si>
  <si>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</si>
  <si>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</si>
  <si>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</si>
  <si>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</si>
  <si>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</si>
  <si>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</si>
  <si>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</si>
  <si>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</si>
  <si>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</si>
  <si>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</si>
  <si>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</si>
  <si>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</si>
  <si>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</si>
  <si>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</si>
  <si>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</si>
  <si>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</si>
  <si>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</si>
  <si>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</si>
  <si>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</si>
  <si>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</si>
  <si>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</si>
  <si>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</si>
  <si>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</si>
  <si>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</si>
  <si>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</si>
  <si>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</si>
  <si>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</si>
  <si>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</si>
  <si>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</si>
  <si>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</si>
  <si>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</si>
  <si>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</si>
  <si>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</si>
  <si>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</si>
  <si>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</si>
  <si>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</si>
  <si>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</si>
  <si>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</si>
  <si>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</si>
  <si>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</si>
  <si>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</si>
  <si>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</si>
  <si>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</si>
  <si>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</si>
  <si>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</si>
  <si>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</si>
  <si>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</si>
  <si>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</si>
  <si>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</si>
  <si>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</si>
  <si>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</si>
  <si>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</si>
  <si>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</si>
  <si>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</si>
  <si>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</si>
  <si>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</si>
  <si>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</si>
  <si>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</si>
  <si>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</si>
  <si>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</si>
  <si>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</si>
  <si>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</si>
  <si>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</si>
  <si>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</si>
  <si>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</si>
  <si>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</si>
  <si>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</si>
  <si>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</si>
  <si>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</si>
  <si>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</si>
  <si>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</si>
  <si>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</si>
  <si>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</si>
  <si>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</si>
  <si>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</si>
  <si>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</si>
  <si>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</si>
  <si>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</si>
  <si>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</si>
  <si>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</si>
  <si>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</si>
  <si>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</si>
  <si>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</si>
  <si>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</si>
  <si>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</si>
  <si>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</si>
  <si>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</si>
  <si>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</si>
  <si>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</si>
  <si>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</si>
  <si>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</si>
  <si>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</si>
  <si>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</si>
  <si>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</si>
  <si>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</si>
  <si>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</si>
  <si>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</si>
  <si>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</si>
  <si>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</si>
  <si>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</si>
  <si>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</si>
  <si>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</si>
  <si>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</si>
  <si>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</si>
  <si>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</si>
  <si>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</si>
  <si>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</si>
  <si>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</si>
  <si>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</si>
  <si>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</si>
  <si>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</si>
  <si>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</si>
  <si>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</si>
  <si>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</si>
  <si>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</si>
  <si>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</si>
  <si>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</si>
  <si>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</si>
  <si>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</si>
  <si>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</si>
  <si>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</si>
  <si>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</si>
  <si>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</si>
  <si>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</si>
  <si>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</si>
  <si>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</si>
  <si>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</si>
  <si>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</si>
  <si>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</si>
  <si>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</si>
  <si>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</si>
  <si>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</si>
  <si>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</si>
  <si>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</si>
  <si>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</si>
  <si>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</si>
  <si>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</si>
  <si>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</si>
  <si>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</si>
  <si>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</si>
  <si>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</si>
  <si>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</si>
  <si>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</si>
  <si>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</si>
  <si>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</si>
  <si>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</si>
  <si>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</si>
  <si>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</si>
  <si>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</si>
  <si>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</si>
  <si>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</si>
  <si>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</si>
  <si>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</si>
  <si>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</si>
  <si>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</si>
  <si>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</si>
  <si>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</si>
  <si>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</si>
  <si>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</si>
  <si>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</si>
  <si>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</si>
  <si>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</si>
  <si>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</si>
  <si>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</si>
  <si>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</si>
  <si>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</si>
  <si>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</si>
  <si>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</si>
  <si>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</si>
  <si>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</si>
  <si>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</si>
  <si>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</si>
  <si>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</si>
  <si>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</si>
  <si>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</si>
  <si>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</si>
  <si>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</si>
  <si>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</si>
  <si>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</si>
  <si>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</si>
  <si>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</si>
  <si>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</si>
  <si>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</si>
  <si>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</si>
  <si>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</si>
  <si>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</si>
  <si>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</si>
  <si>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</si>
  <si>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</si>
  <si>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</si>
  <si>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</si>
  <si>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</si>
  <si>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</si>
  <si>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</si>
  <si>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</si>
  <si>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</si>
  <si>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</si>
  <si>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</si>
  <si>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</si>
  <si>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</si>
  <si>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</si>
  <si>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</si>
  <si>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</si>
  <si>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</si>
  <si>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</si>
  <si>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</si>
  <si>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</si>
  <si>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</si>
  <si>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</si>
  <si>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</si>
  <si>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</si>
  <si>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</si>
  <si>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</si>
  <si>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</si>
  <si>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</si>
  <si>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</si>
  <si>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</si>
  <si>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</si>
  <si>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</si>
  <si>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</si>
  <si>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</si>
  <si>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</si>
  <si>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</si>
  <si>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</si>
  <si>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</si>
  <si>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</si>
  <si>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</si>
  <si>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</si>
  <si>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</si>
  <si>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</si>
  <si>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</si>
  <si>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</si>
  <si>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</si>
  <si>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</si>
  <si>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</si>
  <si>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</si>
  <si>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</si>
  <si>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</si>
  <si>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</si>
  <si>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</si>
  <si>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</si>
  <si>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</si>
  <si>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</si>
  <si>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</si>
  <si>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</si>
  <si>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</si>
  <si>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</si>
  <si>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</si>
  <si>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</si>
  <si>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</si>
  <si>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</si>
  <si>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</si>
  <si>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Type2</t>
  </si>
  <si>
    <t>Roast Type3</t>
  </si>
  <si>
    <t>(blank)</t>
  </si>
  <si>
    <t>Grand Total</t>
  </si>
  <si>
    <t>&lt;02-01-2019</t>
  </si>
  <si>
    <t>2019</t>
  </si>
  <si>
    <t>2020</t>
  </si>
  <si>
    <t>2021</t>
  </si>
  <si>
    <t>2022</t>
  </si>
  <si>
    <t>Jan</t>
  </si>
  <si>
    <t>Feb</t>
  </si>
  <si>
    <t>Mar</t>
  </si>
  <si>
    <t>Apr</t>
  </si>
  <si>
    <t>May</t>
  </si>
  <si>
    <t>Jun</t>
  </si>
  <si>
    <t>Jul</t>
  </si>
  <si>
    <t>Aug</t>
  </si>
  <si>
    <t>Sep</t>
  </si>
  <si>
    <t>Oct</t>
  </si>
  <si>
    <t>Nov</t>
  </si>
  <si>
    <t>Dec</t>
  </si>
  <si>
    <t>Sum of Sales</t>
  </si>
  <si>
    <t>Arabica</t>
  </si>
  <si>
    <t>Excelsa</t>
  </si>
  <si>
    <t>Liberica</t>
  </si>
  <si>
    <t>Robusta</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</si>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</sst>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0" fontId="0" fillId="0" borderId="0" xfId="0" applyNumberFormat="1" applyFont="1"/>
    <xf numFmtId="0" fontId="0" fillId="0" borderId="0" xfId="0" pivotButton="1" applyFont="1"/>
    <xf numFmtId="0" fontId="0" fillId="0" borderId="0" xfId="0" applyFont="1"/>
    <xf numFmtId="168" fontId="0" fillId="0" borderId="0" xfId="0" applyNumberFormat="1" applyFont="1"/>
  </cellXfs>
  <cellStyles count="1">
    <cellStyle name="Normal" xfId="0" builtinId="0"/>
  </cellStyles>
  <dxfs count="84">
    <dxf>
      <font>
        <b val="0"/>
      </font>
    </dxf>
    <dxf>
      <font>
        <b val="0"/>
      </font>
    </dxf>
    <dxf>
      <font>
        <b val="0"/>
      </font>
    </dxf>
    <dxf>
      <font>
        <b val="0"/>
      </font>
    </dxf>
    <dxf>
      <font>
        <b val="0"/>
      </font>
    </dxf>
    <dxf>
      <font>
        <b val="0"/>
      </font>
    </dxf>
    <dxf>
      <numFmt numFmtId="168" formatCode="[$$-409]#,##0"/>
    </dxf>
    <dxf>
      <font>
        <b val="0"/>
      </font>
    </dxf>
    <dxf>
      <font>
        <b val="0"/>
      </font>
    </dxf>
    <dxf>
      <font>
        <b val="0"/>
      </font>
    </dxf>
    <dxf>
      <font>
        <b val="0"/>
      </font>
    </dxf>
    <dxf>
      <font>
        <b val="0"/>
      </font>
    </dxf>
    <dxf>
      <font>
        <b val="0"/>
      </font>
    </dxf>
    <dxf>
      <numFmt numFmtId="168" formatCode="[$$-409]#,##0"/>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68" formatCode="[$$-409]#,##0"/>
    </dxf>
    <dxf>
      <font>
        <b val="0"/>
      </font>
    </dxf>
    <dxf>
      <font>
        <b val="0"/>
      </font>
    </dxf>
    <dxf>
      <font>
        <b val="0"/>
      </font>
    </dxf>
    <dxf>
      <font>
        <b val="0"/>
      </font>
    </dxf>
    <dxf>
      <font>
        <b val="0"/>
      </font>
    </dxf>
    <dxf>
      <font>
        <b val="0"/>
      </font>
    </dxf>
    <dxf>
      <numFmt numFmtId="168" formatCode="[$$-409]#,##0"/>
    </dxf>
    <dxf>
      <font>
        <b/>
      </font>
    </dxf>
    <dxf>
      <font>
        <b val="0"/>
      </font>
    </dxf>
    <dxf>
      <font>
        <b val="0"/>
      </font>
    </dxf>
    <dxf>
      <font>
        <b val="0"/>
      </font>
    </dxf>
    <dxf>
      <font>
        <b val="0"/>
      </font>
    </dxf>
    <dxf>
      <font>
        <b val="0"/>
      </font>
    </dxf>
    <dxf>
      <font>
        <b val="0"/>
      </font>
    </dxf>
    <dxf>
      <font>
        <b val="0"/>
      </font>
    </dxf>
    <dxf>
      <font>
        <b val="0"/>
      </font>
    </dxf>
    <dxf>
      <numFmt numFmtId="168" formatCode="[$$-409]#,##0"/>
    </dxf>
    <dxf>
      <font>
        <b val="0"/>
      </font>
    </dxf>
    <dxf>
      <font>
        <b val="0"/>
      </font>
    </dxf>
    <dxf>
      <font>
        <b val="0"/>
      </font>
    </dxf>
    <dxf>
      <font>
        <b val="0"/>
      </font>
    </dxf>
    <dxf>
      <font>
        <b val="0"/>
      </font>
    </dxf>
    <dxf>
      <font>
        <b val="0"/>
      </font>
    </dxf>
    <dxf>
      <numFmt numFmtId="168" formatCode="[$$-409]#,##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numFmt numFmtId="0" formatCode="General"/>
    </dxf>
    <dxf>
      <numFmt numFmtId="167" formatCode="_-[$$-409]* #,##0.00_ ;_-[$$-409]* \-#,##0.00\ ;_-[$$-409]* &quot;-&quot;??_ ;_-@_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0"/>
        <name val="Calibri"/>
        <family val="2"/>
        <scheme val="minor"/>
      </font>
    </dxf>
    <dxf>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i val="0"/>
        <name val="Calibri"/>
        <family val="2"/>
        <scheme val="minor"/>
      </font>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font>
        <b/>
        <i val="0"/>
        <color theme="0"/>
        <name val="Calibri"/>
        <family val="2"/>
        <scheme val="minor"/>
      </font>
      <fill>
        <patternFill>
          <bgColor rgb="FF7030A0"/>
        </patternFill>
      </fill>
      <border>
        <left style="thin">
          <color auto="1"/>
        </left>
        <right style="thin">
          <color auto="1"/>
        </right>
        <top style="thin">
          <color auto="1"/>
        </top>
        <bottom style="thin">
          <color auto="1"/>
        </bottom>
      </border>
    </dxf>
  </dxfs>
  <tableStyles count="3" defaultTableStyle="TableStyleMedium2" defaultPivotStyle="PivotStyleMedium9">
    <tableStyle name="Size" pivot="0" table="0" count="5" xr9:uid="{A46D07A0-A6AE-4AD0-97DC-E31E16B2EBBE}">
      <tableStyleElement type="wholeTable" dxfId="83"/>
      <tableStyleElement type="headerRow" dxfId="82"/>
    </tableStyle>
    <tableStyle name="Slicer Style 1" pivot="0" table="0" count="5" xr9:uid="{9405851B-A65B-4D0B-B764-9ECE8AC9A7D9}">
      <tableStyleElement type="headerRow" dxfId="81"/>
    </tableStyle>
    <tableStyle name="Timeline Style 1" pivot="0" table="0" count="8" xr9:uid="{15FCA920-5F2B-4BB2-905B-5350E5E8E337}">
      <tableStyleElement type="wholeTable" dxfId="80"/>
      <tableStyleElement type="headerRow" dxfId="79"/>
    </tableStyle>
  </tableStyles>
  <colors>
    <mruColors>
      <color rgb="FF8FC7FF"/>
      <color rgb="FF87C387"/>
      <color rgb="FF29A3FF"/>
      <color rgb="FF004274"/>
      <color rgb="FF2994FF"/>
      <color rgb="FF448844"/>
    </mruColors>
  </colors>
  <extLst>
    <ext xmlns:x14="http://schemas.microsoft.com/office/spreadsheetml/2009/9/main" uri="{46F421CA-312F-682f-3DD2-61675219B42D}">
      <x14:dxfs count="6">
        <dxf>
          <font>
            <b/>
            <i val="0"/>
            <name val="Calibri"/>
            <family val="2"/>
            <scheme val="minor"/>
          </font>
        </dxf>
        <dxf>
          <font>
            <b/>
            <i val="0"/>
            <name val="Calibri"/>
            <family val="2"/>
            <scheme val="minor"/>
          </font>
        </dxf>
        <dxf>
          <font>
            <b val="0"/>
            <i val="0"/>
            <name val="Calibri"/>
            <family val="2"/>
            <scheme val="minor"/>
          </font>
        </dxf>
        <dxf>
          <font>
            <b/>
            <i val="0"/>
            <name val="Calibri"/>
            <family val="2"/>
            <scheme val="minor"/>
          </font>
        </dxf>
        <dxf>
          <font>
            <b/>
            <i val="0"/>
            <name val="Calibri"/>
            <family val="2"/>
            <scheme val="minor"/>
          </font>
        </dxf>
        <dxf>
          <font>
            <b val="0"/>
            <i val="0"/>
            <name val="Calibri"/>
            <family val="2"/>
            <scheme val="minor"/>
          </font>
        </dxf>
      </x14:dxfs>
    </ext>
    <ext xmlns:x14="http://schemas.microsoft.com/office/spreadsheetml/2009/9/main" uri="{EB79DEF2-80B8-43e5-95BD-54CBDDF9020C}">
      <x14:slicerStyles defaultSlicerStyle="Size">
        <x14:slicerStyle name="Size">
          <x14:slicerStyleElements>
            <x14:slicerStyleElement type="unselectedItemWithData" dxfId="5"/>
            <x14:slicerStyleElement type="selectedItemWithData" dxfId="4"/>
            <x14:slicerStyleElement type="selectedItemWithNoData" dxfId="3"/>
          </x14:slicerStyleElements>
        </x14:slicerStyle>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border>
            <left style="thin">
              <color theme="2"/>
            </left>
            <right style="thin">
              <color theme="2"/>
            </right>
            <top style="thin">
              <color theme="2"/>
            </top>
            <bottom style="thin">
              <color theme="2"/>
            </bottom>
          </border>
        </dxf>
        <dxf>
          <fill>
            <patternFill patternType="solid">
              <fgColor theme="0"/>
              <bgColor theme="0"/>
            </patternFill>
          </fill>
          <border>
            <left style="thin">
              <color rgb="FF002060"/>
            </left>
            <right style="thin">
              <color rgb="FF002060"/>
            </right>
            <top style="thin">
              <color rgb="FF002060"/>
            </top>
            <bottom style="thin">
              <color rgb="FF002060"/>
            </bottom>
          </border>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Total</a:t>
            </a:r>
            <a:r>
              <a:rPr lang="en-IN" baseline="0">
                <a:solidFill>
                  <a:schemeClr val="tx1"/>
                </a:solidFill>
              </a:rPr>
              <a:t> Sales Over Time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Tables'!$F$7:$F$8</c:f>
              <c:strCache>
                <c:ptCount val="1"/>
                <c:pt idx="0">
                  <c:v>Arabica</c:v>
                </c:pt>
              </c:strCache>
            </c:strRef>
          </c:tx>
          <c:spPr>
            <a:ln w="28575" cap="rnd">
              <a:solidFill>
                <a:srgbClr val="002060"/>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Tables'!$F$9:$F$54</c:f>
              <c:numCache>
                <c:formatCode>General</c:formatCode>
                <c:ptCount val="45"/>
                <c:pt idx="1">
                  <c:v>186.85499999999999</c:v>
                </c:pt>
                <c:pt idx="2">
                  <c:v>251.96499999999997</c:v>
                </c:pt>
                <c:pt idx="3">
                  <c:v>224.94499999999999</c:v>
                </c:pt>
                <c:pt idx="4">
                  <c:v>307.12</c:v>
                </c:pt>
                <c:pt idx="5">
                  <c:v>53.664999999999992</c:v>
                </c:pt>
                <c:pt idx="6">
                  <c:v>163.01999999999998</c:v>
                </c:pt>
                <c:pt idx="7">
                  <c:v>345.02</c:v>
                </c:pt>
                <c:pt idx="8">
                  <c:v>334.89</c:v>
                </c:pt>
                <c:pt idx="9">
                  <c:v>178.70999999999998</c:v>
                </c:pt>
                <c:pt idx="10">
                  <c:v>301.98500000000001</c:v>
                </c:pt>
                <c:pt idx="11">
                  <c:v>312.83499999999998</c:v>
                </c:pt>
                <c:pt idx="12">
                  <c:v>265.62</c:v>
                </c:pt>
                <c:pt idx="13">
                  <c:v>47.25</c:v>
                </c:pt>
                <c:pt idx="14">
                  <c:v>745.44999999999993</c:v>
                </c:pt>
                <c:pt idx="15">
                  <c:v>130.47</c:v>
                </c:pt>
                <c:pt idx="16">
                  <c:v>27</c:v>
                </c:pt>
                <c:pt idx="17">
                  <c:v>255.11499999999995</c:v>
                </c:pt>
                <c:pt idx="18">
                  <c:v>584.78999999999985</c:v>
                </c:pt>
                <c:pt idx="19">
                  <c:v>430.62</c:v>
                </c:pt>
                <c:pt idx="20">
                  <c:v>22.5</c:v>
                </c:pt>
                <c:pt idx="21">
                  <c:v>126.14999999999999</c:v>
                </c:pt>
                <c:pt idx="22">
                  <c:v>376.03</c:v>
                </c:pt>
                <c:pt idx="23">
                  <c:v>515.17999999999995</c:v>
                </c:pt>
                <c:pt idx="24">
                  <c:v>95.859999999999985</c:v>
                </c:pt>
                <c:pt idx="25">
                  <c:v>258.34500000000003</c:v>
                </c:pt>
                <c:pt idx="26">
                  <c:v>342.2</c:v>
                </c:pt>
                <c:pt idx="27">
                  <c:v>418.30499999999989</c:v>
                </c:pt>
                <c:pt idx="28">
                  <c:v>102.32999999999998</c:v>
                </c:pt>
                <c:pt idx="29">
                  <c:v>234.71999999999997</c:v>
                </c:pt>
                <c:pt idx="30">
                  <c:v>430.39</c:v>
                </c:pt>
                <c:pt idx="31">
                  <c:v>109.005</c:v>
                </c:pt>
                <c:pt idx="32">
                  <c:v>287.52499999999998</c:v>
                </c:pt>
                <c:pt idx="33">
                  <c:v>840.92999999999984</c:v>
                </c:pt>
                <c:pt idx="34">
                  <c:v>299.07</c:v>
                </c:pt>
                <c:pt idx="35">
                  <c:v>323.32499999999999</c:v>
                </c:pt>
                <c:pt idx="36">
                  <c:v>399.48499999999996</c:v>
                </c:pt>
                <c:pt idx="37">
                  <c:v>112.69499999999999</c:v>
                </c:pt>
                <c:pt idx="38">
                  <c:v>114.87999999999998</c:v>
                </c:pt>
                <c:pt idx="39">
                  <c:v>277.76</c:v>
                </c:pt>
                <c:pt idx="40">
                  <c:v>197.89499999999998</c:v>
                </c:pt>
                <c:pt idx="41">
                  <c:v>193.11499999999998</c:v>
                </c:pt>
                <c:pt idx="42">
                  <c:v>179.79</c:v>
                </c:pt>
                <c:pt idx="43">
                  <c:v>247.28999999999996</c:v>
                </c:pt>
                <c:pt idx="44">
                  <c:v>116.39499999999998</c:v>
                </c:pt>
              </c:numCache>
            </c:numRef>
          </c:val>
          <c:smooth val="0"/>
          <c:extLst>
            <c:ext xmlns:c16="http://schemas.microsoft.com/office/drawing/2014/chart" uri="{C3380CC4-5D6E-409C-BE32-E72D297353CC}">
              <c16:uniqueId val="{00000000-B393-4F53-A642-507E877419F2}"/>
            </c:ext>
          </c:extLst>
        </c:ser>
        <c:ser>
          <c:idx val="1"/>
          <c:order val="1"/>
          <c:tx>
            <c:strRef>
              <c:f>'Pivot Tables'!$G$7:$G$8</c:f>
              <c:strCache>
                <c:ptCount val="1"/>
                <c:pt idx="0">
                  <c:v>Excelsa</c:v>
                </c:pt>
              </c:strCache>
            </c:strRef>
          </c:tx>
          <c:spPr>
            <a:ln w="28575" cap="rnd">
              <a:solidFill>
                <a:schemeClr val="accent2"/>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Tables'!$G$9:$G$54</c:f>
              <c:numCache>
                <c:formatCode>General</c:formatCode>
                <c:ptCount val="45"/>
                <c:pt idx="1">
                  <c:v>305.97000000000003</c:v>
                </c:pt>
                <c:pt idx="2">
                  <c:v>129.46</c:v>
                </c:pt>
                <c:pt idx="3">
                  <c:v>349.12</c:v>
                </c:pt>
                <c:pt idx="4">
                  <c:v>681.07499999999993</c:v>
                </c:pt>
                <c:pt idx="5">
                  <c:v>83.025000000000006</c:v>
                </c:pt>
                <c:pt idx="6">
                  <c:v>678.3599999999999</c:v>
                </c:pt>
                <c:pt idx="7">
                  <c:v>273.86999999999995</c:v>
                </c:pt>
                <c:pt idx="8">
                  <c:v>70.95</c:v>
                </c:pt>
                <c:pt idx="9">
                  <c:v>166.1</c:v>
                </c:pt>
                <c:pt idx="10">
                  <c:v>153.76499999999999</c:v>
                </c:pt>
                <c:pt idx="11">
                  <c:v>63.249999999999993</c:v>
                </c:pt>
                <c:pt idx="12">
                  <c:v>526.51499999999987</c:v>
                </c:pt>
                <c:pt idx="13">
                  <c:v>65.805000000000007</c:v>
                </c:pt>
                <c:pt idx="14">
                  <c:v>428.88499999999999</c:v>
                </c:pt>
                <c:pt idx="15">
                  <c:v>271.48500000000001</c:v>
                </c:pt>
                <c:pt idx="16">
                  <c:v>347.26</c:v>
                </c:pt>
                <c:pt idx="17">
                  <c:v>541.73</c:v>
                </c:pt>
                <c:pt idx="18">
                  <c:v>357.42999999999995</c:v>
                </c:pt>
                <c:pt idx="19">
                  <c:v>227.42500000000001</c:v>
                </c:pt>
                <c:pt idx="20">
                  <c:v>77.72</c:v>
                </c:pt>
                <c:pt idx="21">
                  <c:v>195.11</c:v>
                </c:pt>
                <c:pt idx="22">
                  <c:v>523.24</c:v>
                </c:pt>
                <c:pt idx="23">
                  <c:v>142.56</c:v>
                </c:pt>
                <c:pt idx="24">
                  <c:v>484.76</c:v>
                </c:pt>
                <c:pt idx="25">
                  <c:v>139.625</c:v>
                </c:pt>
                <c:pt idx="26">
                  <c:v>284.24999999999994</c:v>
                </c:pt>
                <c:pt idx="27">
                  <c:v>468.125</c:v>
                </c:pt>
                <c:pt idx="28">
                  <c:v>242.14000000000001</c:v>
                </c:pt>
                <c:pt idx="29">
                  <c:v>133.08000000000001</c:v>
                </c:pt>
                <c:pt idx="30">
                  <c:v>136.20500000000001</c:v>
                </c:pt>
                <c:pt idx="31">
                  <c:v>393.57499999999999</c:v>
                </c:pt>
                <c:pt idx="32">
                  <c:v>288.67</c:v>
                </c:pt>
                <c:pt idx="33">
                  <c:v>409.875</c:v>
                </c:pt>
                <c:pt idx="34">
                  <c:v>260.32499999999999</c:v>
                </c:pt>
                <c:pt idx="35">
                  <c:v>565.57000000000005</c:v>
                </c:pt>
                <c:pt idx="36">
                  <c:v>148.19999999999999</c:v>
                </c:pt>
                <c:pt idx="37">
                  <c:v>166.32</c:v>
                </c:pt>
                <c:pt idx="38">
                  <c:v>133.815</c:v>
                </c:pt>
                <c:pt idx="39">
                  <c:v>175.41</c:v>
                </c:pt>
                <c:pt idx="40">
                  <c:v>289.755</c:v>
                </c:pt>
                <c:pt idx="41">
                  <c:v>212.49499999999998</c:v>
                </c:pt>
                <c:pt idx="42">
                  <c:v>426.2</c:v>
                </c:pt>
                <c:pt idx="43">
                  <c:v>246.685</c:v>
                </c:pt>
                <c:pt idx="44">
                  <c:v>41.25</c:v>
                </c:pt>
              </c:numCache>
            </c:numRef>
          </c:val>
          <c:smooth val="0"/>
          <c:extLst>
            <c:ext xmlns:c16="http://schemas.microsoft.com/office/drawing/2014/chart" uri="{C3380CC4-5D6E-409C-BE32-E72D297353CC}">
              <c16:uniqueId val="{0000001C-B393-4F53-A642-507E877419F2}"/>
            </c:ext>
          </c:extLst>
        </c:ser>
        <c:ser>
          <c:idx val="2"/>
          <c:order val="2"/>
          <c:tx>
            <c:strRef>
              <c:f>'Pivot Tables'!$H$7:$H$8</c:f>
              <c:strCache>
                <c:ptCount val="1"/>
                <c:pt idx="0">
                  <c:v>Liberica</c:v>
                </c:pt>
              </c:strCache>
            </c:strRef>
          </c:tx>
          <c:spPr>
            <a:ln w="28575" cap="rnd">
              <a:solidFill>
                <a:srgbClr val="00B050"/>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Tables'!$H$9:$H$54</c:f>
              <c:numCache>
                <c:formatCode>General</c:formatCode>
                <c:ptCount val="45"/>
                <c:pt idx="1">
                  <c:v>213.15999999999997</c:v>
                </c:pt>
                <c:pt idx="2">
                  <c:v>434.03999999999996</c:v>
                </c:pt>
                <c:pt idx="3">
                  <c:v>321.04000000000002</c:v>
                </c:pt>
                <c:pt idx="4">
                  <c:v>533.70499999999993</c:v>
                </c:pt>
                <c:pt idx="5">
                  <c:v>193.83499999999998</c:v>
                </c:pt>
                <c:pt idx="6">
                  <c:v>171.04500000000002</c:v>
                </c:pt>
                <c:pt idx="7">
                  <c:v>184.12999999999997</c:v>
                </c:pt>
                <c:pt idx="8">
                  <c:v>134.23000000000002</c:v>
                </c:pt>
                <c:pt idx="9">
                  <c:v>439.30999999999995</c:v>
                </c:pt>
                <c:pt idx="10">
                  <c:v>215.55499999999998</c:v>
                </c:pt>
                <c:pt idx="11">
                  <c:v>350.89500000000004</c:v>
                </c:pt>
                <c:pt idx="12">
                  <c:v>187.06</c:v>
                </c:pt>
                <c:pt idx="13">
                  <c:v>274.67500000000001</c:v>
                </c:pt>
                <c:pt idx="14">
                  <c:v>194.17499999999998</c:v>
                </c:pt>
                <c:pt idx="15">
                  <c:v>281.20499999999998</c:v>
                </c:pt>
                <c:pt idx="16">
                  <c:v>147.51</c:v>
                </c:pt>
                <c:pt idx="17">
                  <c:v>83.43</c:v>
                </c:pt>
                <c:pt idx="18">
                  <c:v>355.34</c:v>
                </c:pt>
                <c:pt idx="19">
                  <c:v>236.315</c:v>
                </c:pt>
                <c:pt idx="20">
                  <c:v>60.5</c:v>
                </c:pt>
                <c:pt idx="21">
                  <c:v>89.13</c:v>
                </c:pt>
                <c:pt idx="22">
                  <c:v>440.96499999999997</c:v>
                </c:pt>
                <c:pt idx="23">
                  <c:v>347.03999999999996</c:v>
                </c:pt>
                <c:pt idx="24">
                  <c:v>94.17</c:v>
                </c:pt>
                <c:pt idx="25">
                  <c:v>279.52000000000004</c:v>
                </c:pt>
                <c:pt idx="26">
                  <c:v>251.83</c:v>
                </c:pt>
                <c:pt idx="27">
                  <c:v>405.05500000000006</c:v>
                </c:pt>
                <c:pt idx="28">
                  <c:v>554.875</c:v>
                </c:pt>
                <c:pt idx="29">
                  <c:v>267.2</c:v>
                </c:pt>
                <c:pt idx="30">
                  <c:v>209.6</c:v>
                </c:pt>
                <c:pt idx="31">
                  <c:v>61.034999999999997</c:v>
                </c:pt>
                <c:pt idx="32">
                  <c:v>125.58</c:v>
                </c:pt>
                <c:pt idx="33">
                  <c:v>171.32999999999998</c:v>
                </c:pt>
                <c:pt idx="34">
                  <c:v>584.64</c:v>
                </c:pt>
                <c:pt idx="35">
                  <c:v>537.80999999999995</c:v>
                </c:pt>
                <c:pt idx="36">
                  <c:v>388.21999999999997</c:v>
                </c:pt>
                <c:pt idx="37">
                  <c:v>843.71499999999992</c:v>
                </c:pt>
                <c:pt idx="38">
                  <c:v>91.175000000000011</c:v>
                </c:pt>
                <c:pt idx="39">
                  <c:v>462.50999999999993</c:v>
                </c:pt>
                <c:pt idx="40">
                  <c:v>88.545000000000002</c:v>
                </c:pt>
                <c:pt idx="41">
                  <c:v>292.29000000000002</c:v>
                </c:pt>
                <c:pt idx="42">
                  <c:v>170.08999999999997</c:v>
                </c:pt>
                <c:pt idx="43">
                  <c:v>271.05499999999995</c:v>
                </c:pt>
                <c:pt idx="44">
                  <c:v>15.54</c:v>
                </c:pt>
              </c:numCache>
            </c:numRef>
          </c:val>
          <c:smooth val="0"/>
          <c:extLst>
            <c:ext xmlns:c16="http://schemas.microsoft.com/office/drawing/2014/chart" uri="{C3380CC4-5D6E-409C-BE32-E72D297353CC}">
              <c16:uniqueId val="{0000001D-B393-4F53-A642-507E877419F2}"/>
            </c:ext>
          </c:extLst>
        </c:ser>
        <c:ser>
          <c:idx val="3"/>
          <c:order val="3"/>
          <c:tx>
            <c:strRef>
              <c:f>'Pivot Tables'!$I$7:$I$8</c:f>
              <c:strCache>
                <c:ptCount val="1"/>
                <c:pt idx="0">
                  <c:v>Robusta</c:v>
                </c:pt>
              </c:strCache>
            </c:strRef>
          </c:tx>
          <c:spPr>
            <a:ln w="28575" cap="rnd">
              <a:solidFill>
                <a:srgbClr val="7030A0"/>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Tables'!$I$9:$I$54</c:f>
              <c:numCache>
                <c:formatCode>General</c:formatCode>
                <c:ptCount val="45"/>
                <c:pt idx="1">
                  <c:v>123</c:v>
                </c:pt>
                <c:pt idx="2">
                  <c:v>171.93999999999997</c:v>
                </c:pt>
                <c:pt idx="3">
                  <c:v>126.035</c:v>
                </c:pt>
                <c:pt idx="4">
                  <c:v>158.85</c:v>
                </c:pt>
                <c:pt idx="5">
                  <c:v>68.039999999999992</c:v>
                </c:pt>
                <c:pt idx="6">
                  <c:v>372.255</c:v>
                </c:pt>
                <c:pt idx="7">
                  <c:v>201.11499999999998</c:v>
                </c:pt>
                <c:pt idx="8">
                  <c:v>166.27499999999998</c:v>
                </c:pt>
                <c:pt idx="9">
                  <c:v>492.9</c:v>
                </c:pt>
                <c:pt idx="10">
                  <c:v>213.66499999999999</c:v>
                </c:pt>
                <c:pt idx="11">
                  <c:v>96.405000000000001</c:v>
                </c:pt>
                <c:pt idx="12">
                  <c:v>210.58999999999997</c:v>
                </c:pt>
                <c:pt idx="13">
                  <c:v>179.22</c:v>
                </c:pt>
                <c:pt idx="14">
                  <c:v>429.82999999999993</c:v>
                </c:pt>
                <c:pt idx="15">
                  <c:v>231.63000000000002</c:v>
                </c:pt>
                <c:pt idx="16">
                  <c:v>240.04</c:v>
                </c:pt>
                <c:pt idx="17">
                  <c:v>59.079999999999991</c:v>
                </c:pt>
                <c:pt idx="18">
                  <c:v>140.88</c:v>
                </c:pt>
                <c:pt idx="19">
                  <c:v>414.58499999999992</c:v>
                </c:pt>
                <c:pt idx="20">
                  <c:v>139.67999999999998</c:v>
                </c:pt>
                <c:pt idx="21">
                  <c:v>302.65999999999997</c:v>
                </c:pt>
                <c:pt idx="22">
                  <c:v>174.46999999999997</c:v>
                </c:pt>
                <c:pt idx="23">
                  <c:v>104.08499999999999</c:v>
                </c:pt>
                <c:pt idx="24">
                  <c:v>77.10499999999999</c:v>
                </c:pt>
                <c:pt idx="25">
                  <c:v>160.19499999999999</c:v>
                </c:pt>
                <c:pt idx="26">
                  <c:v>80.550000000000011</c:v>
                </c:pt>
                <c:pt idx="27">
                  <c:v>253.15499999999997</c:v>
                </c:pt>
                <c:pt idx="28">
                  <c:v>106.23999999999998</c:v>
                </c:pt>
                <c:pt idx="29">
                  <c:v>272.68999999999994</c:v>
                </c:pt>
                <c:pt idx="30">
                  <c:v>88.334999999999994</c:v>
                </c:pt>
                <c:pt idx="31">
                  <c:v>199.48999999999998</c:v>
                </c:pt>
                <c:pt idx="32">
                  <c:v>374.13499999999999</c:v>
                </c:pt>
                <c:pt idx="33">
                  <c:v>221.43999999999997</c:v>
                </c:pt>
                <c:pt idx="34">
                  <c:v>256.36500000000001</c:v>
                </c:pt>
                <c:pt idx="35">
                  <c:v>189.47499999999999</c:v>
                </c:pt>
                <c:pt idx="36">
                  <c:v>212.07499999999999</c:v>
                </c:pt>
                <c:pt idx="37">
                  <c:v>146.685</c:v>
                </c:pt>
                <c:pt idx="38">
                  <c:v>53.759999999999991</c:v>
                </c:pt>
                <c:pt idx="39">
                  <c:v>399.52499999999998</c:v>
                </c:pt>
                <c:pt idx="40">
                  <c:v>200.25499999999997</c:v>
                </c:pt>
                <c:pt idx="41">
                  <c:v>304.46999999999997</c:v>
                </c:pt>
                <c:pt idx="42">
                  <c:v>379.31</c:v>
                </c:pt>
                <c:pt idx="43">
                  <c:v>141.69999999999999</c:v>
                </c:pt>
                <c:pt idx="44">
                  <c:v>71.06</c:v>
                </c:pt>
              </c:numCache>
            </c:numRef>
          </c:val>
          <c:smooth val="0"/>
          <c:extLst>
            <c:ext xmlns:c16="http://schemas.microsoft.com/office/drawing/2014/chart" uri="{C3380CC4-5D6E-409C-BE32-E72D297353CC}">
              <c16:uniqueId val="{0000001E-B393-4F53-A642-507E877419F2}"/>
            </c:ext>
          </c:extLst>
        </c:ser>
        <c:ser>
          <c:idx val="4"/>
          <c:order val="4"/>
          <c:tx>
            <c:strRef>
              <c:f>'Pivot Tables'!$J$7:$J$8</c:f>
              <c:strCache>
                <c:ptCount val="1"/>
                <c:pt idx="0">
                  <c:v>(blank)</c:v>
                </c:pt>
              </c:strCache>
            </c:strRef>
          </c:tx>
          <c:spPr>
            <a:ln w="28575" cap="rnd">
              <a:solidFill>
                <a:schemeClr val="accent5"/>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Tables'!$J$9:$J$54</c:f>
              <c:numCache>
                <c:formatCode>General</c:formatCode>
                <c:ptCount val="45"/>
              </c:numCache>
            </c:numRef>
          </c:val>
          <c:smooth val="0"/>
          <c:extLst>
            <c:ext xmlns:c16="http://schemas.microsoft.com/office/drawing/2014/chart" uri="{C3380CC4-5D6E-409C-BE32-E72D297353CC}">
              <c16:uniqueId val="{00000000-9A1B-4FBB-B40E-5A237B15E61A}"/>
            </c:ext>
          </c:extLst>
        </c:ser>
        <c:dLbls>
          <c:showLegendKey val="0"/>
          <c:showVal val="0"/>
          <c:showCatName val="0"/>
          <c:showSerName val="0"/>
          <c:showPercent val="0"/>
          <c:showBubbleSize val="0"/>
        </c:dLbls>
        <c:smooth val="0"/>
        <c:axId val="1871237904"/>
        <c:axId val="1871228304"/>
      </c:lineChart>
      <c:catAx>
        <c:axId val="18712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1228304"/>
        <c:crosses val="autoZero"/>
        <c:auto val="1"/>
        <c:lblAlgn val="ctr"/>
        <c:lblOffset val="100"/>
        <c:noMultiLvlLbl val="0"/>
      </c:catAx>
      <c:valAx>
        <c:axId val="187122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23790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FC7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Analysis.xlsx]Country Bar chart!PivotTable8</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42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8844"/>
          </a:solidFill>
          <a:ln>
            <a:noFill/>
          </a:ln>
          <a:effectLst/>
        </c:spPr>
      </c:pivotFmt>
      <c:pivotFmt>
        <c:idx val="2"/>
        <c:spPr>
          <a:solidFill>
            <a:srgbClr val="FFC000"/>
          </a:solidFill>
          <a:ln>
            <a:noFill/>
          </a:ln>
          <a:effectLst/>
        </c:spPr>
      </c:pivotFmt>
    </c:pivotFmts>
    <c:plotArea>
      <c:layout/>
      <c:barChart>
        <c:barDir val="bar"/>
        <c:grouping val="clustered"/>
        <c:varyColors val="0"/>
        <c:ser>
          <c:idx val="0"/>
          <c:order val="0"/>
          <c:tx>
            <c:strRef>
              <c:f>'Country Bar chart'!$D$7</c:f>
              <c:strCache>
                <c:ptCount val="1"/>
                <c:pt idx="0">
                  <c:v>Total</c:v>
                </c:pt>
              </c:strCache>
            </c:strRef>
          </c:tx>
          <c:spPr>
            <a:solidFill>
              <a:srgbClr val="004274"/>
            </a:solidFill>
            <a:ln>
              <a:noFill/>
            </a:ln>
            <a:effectLst/>
          </c:spPr>
          <c:invertIfNegative val="0"/>
          <c:dPt>
            <c:idx val="1"/>
            <c:invertIfNegative val="0"/>
            <c:bubble3D val="0"/>
            <c:spPr>
              <a:solidFill>
                <a:srgbClr val="448844"/>
              </a:solidFill>
              <a:ln>
                <a:noFill/>
              </a:ln>
              <a:effectLst/>
            </c:spPr>
            <c:extLst>
              <c:ext xmlns:c16="http://schemas.microsoft.com/office/drawing/2014/chart" uri="{C3380CC4-5D6E-409C-BE32-E72D297353CC}">
                <c16:uniqueId val="{00000003-722F-46A2-A5BE-04C16D680DA7}"/>
              </c:ext>
            </c:extLst>
          </c:dPt>
          <c:dPt>
            <c:idx val="2"/>
            <c:invertIfNegative val="0"/>
            <c:bubble3D val="0"/>
            <c:spPr>
              <a:solidFill>
                <a:srgbClr val="FFC000"/>
              </a:solidFill>
              <a:ln>
                <a:noFill/>
              </a:ln>
              <a:effectLst/>
            </c:spPr>
            <c:extLst>
              <c:ext xmlns:c16="http://schemas.microsoft.com/office/drawing/2014/chart" uri="{C3380CC4-5D6E-409C-BE32-E72D297353CC}">
                <c16:uniqueId val="{00000003-F4BC-441E-A2CC-A0F142A6F2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chart'!$C$8:$C$12</c:f>
              <c:strCache>
                <c:ptCount val="4"/>
                <c:pt idx="0">
                  <c:v>(blank)</c:v>
                </c:pt>
                <c:pt idx="1">
                  <c:v>United Kingdom</c:v>
                </c:pt>
                <c:pt idx="2">
                  <c:v>Ireland</c:v>
                </c:pt>
                <c:pt idx="3">
                  <c:v>United States</c:v>
                </c:pt>
              </c:strCache>
            </c:strRef>
          </c:cat>
          <c:val>
            <c:numRef>
              <c:f>'Country Bar chart'!$D$8:$D$12</c:f>
              <c:numCache>
                <c:formatCode>[$$-409]#,##0</c:formatCode>
                <c:ptCount val="4"/>
                <c:pt idx="1">
                  <c:v>2798.5050000000001</c:v>
                </c:pt>
                <c:pt idx="2">
                  <c:v>6696.8649999999989</c:v>
                </c:pt>
                <c:pt idx="3">
                  <c:v>35638.88499999998</c:v>
                </c:pt>
              </c:numCache>
            </c:numRef>
          </c:val>
          <c:extLst>
            <c:ext xmlns:c16="http://schemas.microsoft.com/office/drawing/2014/chart" uri="{C3380CC4-5D6E-409C-BE32-E72D297353CC}">
              <c16:uniqueId val="{00000000-722F-46A2-A5BE-04C16D680DA7}"/>
            </c:ext>
          </c:extLst>
        </c:ser>
        <c:dLbls>
          <c:dLblPos val="outEnd"/>
          <c:showLegendKey val="0"/>
          <c:showVal val="1"/>
          <c:showCatName val="0"/>
          <c:showSerName val="0"/>
          <c:showPercent val="0"/>
          <c:showBubbleSize val="0"/>
        </c:dLbls>
        <c:gapWidth val="182"/>
        <c:axId val="1216579936"/>
        <c:axId val="1216581856"/>
      </c:barChart>
      <c:catAx>
        <c:axId val="1216579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216581856"/>
        <c:crosses val="autoZero"/>
        <c:auto val="1"/>
        <c:lblAlgn val="ctr"/>
        <c:lblOffset val="100"/>
        <c:noMultiLvlLbl val="0"/>
      </c:catAx>
      <c:valAx>
        <c:axId val="1216581856"/>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21657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FC7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Analysis.xlsx]Top 5 customer!PivotTable8</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5 Customer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customer'!$D$7</c:f>
              <c:strCache>
                <c:ptCount val="1"/>
                <c:pt idx="0">
                  <c:v>Total</c:v>
                </c:pt>
              </c:strCache>
            </c:strRef>
          </c:tx>
          <c:spPr>
            <a:solidFill>
              <a:srgbClr val="7030A0"/>
            </a:solidFill>
            <a:ln>
              <a:noFill/>
            </a:ln>
            <a:effectLst/>
          </c:spPr>
          <c:invertIfNegative val="0"/>
          <c:cat>
            <c:strRef>
              <c:f>'Top 5 customer'!$C$8:$C$13</c:f>
              <c:strCache>
                <c:ptCount val="5"/>
                <c:pt idx="0">
                  <c:v>Don Flintiff</c:v>
                </c:pt>
                <c:pt idx="1">
                  <c:v>Nealson Cuttler</c:v>
                </c:pt>
                <c:pt idx="2">
                  <c:v>Terri Farra</c:v>
                </c:pt>
                <c:pt idx="3">
                  <c:v>Brenn Dundredge</c:v>
                </c:pt>
                <c:pt idx="4">
                  <c:v>Allis Wilmore</c:v>
                </c:pt>
              </c:strCache>
            </c:strRef>
          </c:cat>
          <c:val>
            <c:numRef>
              <c:f>'Top 5 customer'!$D$8:$D$13</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FA2-45A6-AD4B-3B39BB87BBCC}"/>
            </c:ext>
          </c:extLst>
        </c:ser>
        <c:dLbls>
          <c:showLegendKey val="0"/>
          <c:showVal val="0"/>
          <c:showCatName val="0"/>
          <c:showSerName val="0"/>
          <c:showPercent val="0"/>
          <c:showBubbleSize val="0"/>
        </c:dLbls>
        <c:gapWidth val="182"/>
        <c:axId val="1453350976"/>
        <c:axId val="1453351936"/>
      </c:barChart>
      <c:catAx>
        <c:axId val="145335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3351936"/>
        <c:crosses val="autoZero"/>
        <c:auto val="1"/>
        <c:lblAlgn val="ctr"/>
        <c:lblOffset val="100"/>
        <c:noMultiLvlLbl val="0"/>
      </c:catAx>
      <c:valAx>
        <c:axId val="1453351936"/>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335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FC7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Total</a:t>
            </a:r>
            <a:r>
              <a:rPr lang="en-IN" baseline="0">
                <a:solidFill>
                  <a:schemeClr val="tx1"/>
                </a:solidFill>
              </a:rPr>
              <a:t> Sales Over Time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Tables'!$F$7:$F$8</c:f>
              <c:strCache>
                <c:ptCount val="1"/>
                <c:pt idx="0">
                  <c:v>Arabica</c:v>
                </c:pt>
              </c:strCache>
            </c:strRef>
          </c:tx>
          <c:spPr>
            <a:ln w="28575" cap="rnd">
              <a:solidFill>
                <a:srgbClr val="002060"/>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Tables'!$F$9:$F$54</c:f>
              <c:numCache>
                <c:formatCode>General</c:formatCode>
                <c:ptCount val="45"/>
                <c:pt idx="1">
                  <c:v>186.85499999999999</c:v>
                </c:pt>
                <c:pt idx="2">
                  <c:v>251.96499999999997</c:v>
                </c:pt>
                <c:pt idx="3">
                  <c:v>224.94499999999999</c:v>
                </c:pt>
                <c:pt idx="4">
                  <c:v>307.12</c:v>
                </c:pt>
                <c:pt idx="5">
                  <c:v>53.664999999999992</c:v>
                </c:pt>
                <c:pt idx="6">
                  <c:v>163.01999999999998</c:v>
                </c:pt>
                <c:pt idx="7">
                  <c:v>345.02</c:v>
                </c:pt>
                <c:pt idx="8">
                  <c:v>334.89</c:v>
                </c:pt>
                <c:pt idx="9">
                  <c:v>178.70999999999998</c:v>
                </c:pt>
                <c:pt idx="10">
                  <c:v>301.98500000000001</c:v>
                </c:pt>
                <c:pt idx="11">
                  <c:v>312.83499999999998</c:v>
                </c:pt>
                <c:pt idx="12">
                  <c:v>265.62</c:v>
                </c:pt>
                <c:pt idx="13">
                  <c:v>47.25</c:v>
                </c:pt>
                <c:pt idx="14">
                  <c:v>745.44999999999993</c:v>
                </c:pt>
                <c:pt idx="15">
                  <c:v>130.47</c:v>
                </c:pt>
                <c:pt idx="16">
                  <c:v>27</c:v>
                </c:pt>
                <c:pt idx="17">
                  <c:v>255.11499999999995</c:v>
                </c:pt>
                <c:pt idx="18">
                  <c:v>584.78999999999985</c:v>
                </c:pt>
                <c:pt idx="19">
                  <c:v>430.62</c:v>
                </c:pt>
                <c:pt idx="20">
                  <c:v>22.5</c:v>
                </c:pt>
                <c:pt idx="21">
                  <c:v>126.14999999999999</c:v>
                </c:pt>
                <c:pt idx="22">
                  <c:v>376.03</c:v>
                </c:pt>
                <c:pt idx="23">
                  <c:v>515.17999999999995</c:v>
                </c:pt>
                <c:pt idx="24">
                  <c:v>95.859999999999985</c:v>
                </c:pt>
                <c:pt idx="25">
                  <c:v>258.34500000000003</c:v>
                </c:pt>
                <c:pt idx="26">
                  <c:v>342.2</c:v>
                </c:pt>
                <c:pt idx="27">
                  <c:v>418.30499999999989</c:v>
                </c:pt>
                <c:pt idx="28">
                  <c:v>102.32999999999998</c:v>
                </c:pt>
                <c:pt idx="29">
                  <c:v>234.71999999999997</c:v>
                </c:pt>
                <c:pt idx="30">
                  <c:v>430.39</c:v>
                </c:pt>
                <c:pt idx="31">
                  <c:v>109.005</c:v>
                </c:pt>
                <c:pt idx="32">
                  <c:v>287.52499999999998</c:v>
                </c:pt>
                <c:pt idx="33">
                  <c:v>840.92999999999984</c:v>
                </c:pt>
                <c:pt idx="34">
                  <c:v>299.07</c:v>
                </c:pt>
                <c:pt idx="35">
                  <c:v>323.32499999999999</c:v>
                </c:pt>
                <c:pt idx="36">
                  <c:v>399.48499999999996</c:v>
                </c:pt>
                <c:pt idx="37">
                  <c:v>112.69499999999999</c:v>
                </c:pt>
                <c:pt idx="38">
                  <c:v>114.87999999999998</c:v>
                </c:pt>
                <c:pt idx="39">
                  <c:v>277.76</c:v>
                </c:pt>
                <c:pt idx="40">
                  <c:v>197.89499999999998</c:v>
                </c:pt>
                <c:pt idx="41">
                  <c:v>193.11499999999998</c:v>
                </c:pt>
                <c:pt idx="42">
                  <c:v>179.79</c:v>
                </c:pt>
                <c:pt idx="43">
                  <c:v>247.28999999999996</c:v>
                </c:pt>
                <c:pt idx="44">
                  <c:v>116.39499999999998</c:v>
                </c:pt>
              </c:numCache>
            </c:numRef>
          </c:val>
          <c:smooth val="0"/>
          <c:extLst>
            <c:ext xmlns:c16="http://schemas.microsoft.com/office/drawing/2014/chart" uri="{C3380CC4-5D6E-409C-BE32-E72D297353CC}">
              <c16:uniqueId val="{00000000-3509-4BE1-A0A4-63E5B66C13D0}"/>
            </c:ext>
          </c:extLst>
        </c:ser>
        <c:ser>
          <c:idx val="1"/>
          <c:order val="1"/>
          <c:tx>
            <c:strRef>
              <c:f>'Pivot Tables'!$G$7:$G$8</c:f>
              <c:strCache>
                <c:ptCount val="1"/>
                <c:pt idx="0">
                  <c:v>Excelsa</c:v>
                </c:pt>
              </c:strCache>
            </c:strRef>
          </c:tx>
          <c:spPr>
            <a:ln w="28575" cap="rnd">
              <a:solidFill>
                <a:schemeClr val="accent2"/>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Tables'!$G$9:$G$54</c:f>
              <c:numCache>
                <c:formatCode>General</c:formatCode>
                <c:ptCount val="45"/>
                <c:pt idx="1">
                  <c:v>305.97000000000003</c:v>
                </c:pt>
                <c:pt idx="2">
                  <c:v>129.46</c:v>
                </c:pt>
                <c:pt idx="3">
                  <c:v>349.12</c:v>
                </c:pt>
                <c:pt idx="4">
                  <c:v>681.07499999999993</c:v>
                </c:pt>
                <c:pt idx="5">
                  <c:v>83.025000000000006</c:v>
                </c:pt>
                <c:pt idx="6">
                  <c:v>678.3599999999999</c:v>
                </c:pt>
                <c:pt idx="7">
                  <c:v>273.86999999999995</c:v>
                </c:pt>
                <c:pt idx="8">
                  <c:v>70.95</c:v>
                </c:pt>
                <c:pt idx="9">
                  <c:v>166.1</c:v>
                </c:pt>
                <c:pt idx="10">
                  <c:v>153.76499999999999</c:v>
                </c:pt>
                <c:pt idx="11">
                  <c:v>63.249999999999993</c:v>
                </c:pt>
                <c:pt idx="12">
                  <c:v>526.51499999999987</c:v>
                </c:pt>
                <c:pt idx="13">
                  <c:v>65.805000000000007</c:v>
                </c:pt>
                <c:pt idx="14">
                  <c:v>428.88499999999999</c:v>
                </c:pt>
                <c:pt idx="15">
                  <c:v>271.48500000000001</c:v>
                </c:pt>
                <c:pt idx="16">
                  <c:v>347.26</c:v>
                </c:pt>
                <c:pt idx="17">
                  <c:v>541.73</c:v>
                </c:pt>
                <c:pt idx="18">
                  <c:v>357.42999999999995</c:v>
                </c:pt>
                <c:pt idx="19">
                  <c:v>227.42500000000001</c:v>
                </c:pt>
                <c:pt idx="20">
                  <c:v>77.72</c:v>
                </c:pt>
                <c:pt idx="21">
                  <c:v>195.11</c:v>
                </c:pt>
                <c:pt idx="22">
                  <c:v>523.24</c:v>
                </c:pt>
                <c:pt idx="23">
                  <c:v>142.56</c:v>
                </c:pt>
                <c:pt idx="24">
                  <c:v>484.76</c:v>
                </c:pt>
                <c:pt idx="25">
                  <c:v>139.625</c:v>
                </c:pt>
                <c:pt idx="26">
                  <c:v>284.24999999999994</c:v>
                </c:pt>
                <c:pt idx="27">
                  <c:v>468.125</c:v>
                </c:pt>
                <c:pt idx="28">
                  <c:v>242.14000000000001</c:v>
                </c:pt>
                <c:pt idx="29">
                  <c:v>133.08000000000001</c:v>
                </c:pt>
                <c:pt idx="30">
                  <c:v>136.20500000000001</c:v>
                </c:pt>
                <c:pt idx="31">
                  <c:v>393.57499999999999</c:v>
                </c:pt>
                <c:pt idx="32">
                  <c:v>288.67</c:v>
                </c:pt>
                <c:pt idx="33">
                  <c:v>409.875</c:v>
                </c:pt>
                <c:pt idx="34">
                  <c:v>260.32499999999999</c:v>
                </c:pt>
                <c:pt idx="35">
                  <c:v>565.57000000000005</c:v>
                </c:pt>
                <c:pt idx="36">
                  <c:v>148.19999999999999</c:v>
                </c:pt>
                <c:pt idx="37">
                  <c:v>166.32</c:v>
                </c:pt>
                <c:pt idx="38">
                  <c:v>133.815</c:v>
                </c:pt>
                <c:pt idx="39">
                  <c:v>175.41</c:v>
                </c:pt>
                <c:pt idx="40">
                  <c:v>289.755</c:v>
                </c:pt>
                <c:pt idx="41">
                  <c:v>212.49499999999998</c:v>
                </c:pt>
                <c:pt idx="42">
                  <c:v>426.2</c:v>
                </c:pt>
                <c:pt idx="43">
                  <c:v>246.685</c:v>
                </c:pt>
                <c:pt idx="44">
                  <c:v>41.25</c:v>
                </c:pt>
              </c:numCache>
            </c:numRef>
          </c:val>
          <c:smooth val="0"/>
          <c:extLst>
            <c:ext xmlns:c16="http://schemas.microsoft.com/office/drawing/2014/chart" uri="{C3380CC4-5D6E-409C-BE32-E72D297353CC}">
              <c16:uniqueId val="{0000000E-3509-4BE1-A0A4-63E5B66C13D0}"/>
            </c:ext>
          </c:extLst>
        </c:ser>
        <c:ser>
          <c:idx val="2"/>
          <c:order val="2"/>
          <c:tx>
            <c:strRef>
              <c:f>'Pivot Tables'!$H$7:$H$8</c:f>
              <c:strCache>
                <c:ptCount val="1"/>
                <c:pt idx="0">
                  <c:v>Liberica</c:v>
                </c:pt>
              </c:strCache>
            </c:strRef>
          </c:tx>
          <c:spPr>
            <a:ln w="28575" cap="rnd">
              <a:solidFill>
                <a:srgbClr val="00B050"/>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Tables'!$H$9:$H$54</c:f>
              <c:numCache>
                <c:formatCode>General</c:formatCode>
                <c:ptCount val="45"/>
                <c:pt idx="1">
                  <c:v>213.15999999999997</c:v>
                </c:pt>
                <c:pt idx="2">
                  <c:v>434.03999999999996</c:v>
                </c:pt>
                <c:pt idx="3">
                  <c:v>321.04000000000002</c:v>
                </c:pt>
                <c:pt idx="4">
                  <c:v>533.70499999999993</c:v>
                </c:pt>
                <c:pt idx="5">
                  <c:v>193.83499999999998</c:v>
                </c:pt>
                <c:pt idx="6">
                  <c:v>171.04500000000002</c:v>
                </c:pt>
                <c:pt idx="7">
                  <c:v>184.12999999999997</c:v>
                </c:pt>
                <c:pt idx="8">
                  <c:v>134.23000000000002</c:v>
                </c:pt>
                <c:pt idx="9">
                  <c:v>439.30999999999995</c:v>
                </c:pt>
                <c:pt idx="10">
                  <c:v>215.55499999999998</c:v>
                </c:pt>
                <c:pt idx="11">
                  <c:v>350.89500000000004</c:v>
                </c:pt>
                <c:pt idx="12">
                  <c:v>187.06</c:v>
                </c:pt>
                <c:pt idx="13">
                  <c:v>274.67500000000001</c:v>
                </c:pt>
                <c:pt idx="14">
                  <c:v>194.17499999999998</c:v>
                </c:pt>
                <c:pt idx="15">
                  <c:v>281.20499999999998</c:v>
                </c:pt>
                <c:pt idx="16">
                  <c:v>147.51</c:v>
                </c:pt>
                <c:pt idx="17">
                  <c:v>83.43</c:v>
                </c:pt>
                <c:pt idx="18">
                  <c:v>355.34</c:v>
                </c:pt>
                <c:pt idx="19">
                  <c:v>236.315</c:v>
                </c:pt>
                <c:pt idx="20">
                  <c:v>60.5</c:v>
                </c:pt>
                <c:pt idx="21">
                  <c:v>89.13</c:v>
                </c:pt>
                <c:pt idx="22">
                  <c:v>440.96499999999997</c:v>
                </c:pt>
                <c:pt idx="23">
                  <c:v>347.03999999999996</c:v>
                </c:pt>
                <c:pt idx="24">
                  <c:v>94.17</c:v>
                </c:pt>
                <c:pt idx="25">
                  <c:v>279.52000000000004</c:v>
                </c:pt>
                <c:pt idx="26">
                  <c:v>251.83</c:v>
                </c:pt>
                <c:pt idx="27">
                  <c:v>405.05500000000006</c:v>
                </c:pt>
                <c:pt idx="28">
                  <c:v>554.875</c:v>
                </c:pt>
                <c:pt idx="29">
                  <c:v>267.2</c:v>
                </c:pt>
                <c:pt idx="30">
                  <c:v>209.6</c:v>
                </c:pt>
                <c:pt idx="31">
                  <c:v>61.034999999999997</c:v>
                </c:pt>
                <c:pt idx="32">
                  <c:v>125.58</c:v>
                </c:pt>
                <c:pt idx="33">
                  <c:v>171.32999999999998</c:v>
                </c:pt>
                <c:pt idx="34">
                  <c:v>584.64</c:v>
                </c:pt>
                <c:pt idx="35">
                  <c:v>537.80999999999995</c:v>
                </c:pt>
                <c:pt idx="36">
                  <c:v>388.21999999999997</c:v>
                </c:pt>
                <c:pt idx="37">
                  <c:v>843.71499999999992</c:v>
                </c:pt>
                <c:pt idx="38">
                  <c:v>91.175000000000011</c:v>
                </c:pt>
                <c:pt idx="39">
                  <c:v>462.50999999999993</c:v>
                </c:pt>
                <c:pt idx="40">
                  <c:v>88.545000000000002</c:v>
                </c:pt>
                <c:pt idx="41">
                  <c:v>292.29000000000002</c:v>
                </c:pt>
                <c:pt idx="42">
                  <c:v>170.08999999999997</c:v>
                </c:pt>
                <c:pt idx="43">
                  <c:v>271.05499999999995</c:v>
                </c:pt>
                <c:pt idx="44">
                  <c:v>15.54</c:v>
                </c:pt>
              </c:numCache>
            </c:numRef>
          </c:val>
          <c:smooth val="0"/>
          <c:extLst>
            <c:ext xmlns:c16="http://schemas.microsoft.com/office/drawing/2014/chart" uri="{C3380CC4-5D6E-409C-BE32-E72D297353CC}">
              <c16:uniqueId val="{0000000F-3509-4BE1-A0A4-63E5B66C13D0}"/>
            </c:ext>
          </c:extLst>
        </c:ser>
        <c:ser>
          <c:idx val="3"/>
          <c:order val="3"/>
          <c:tx>
            <c:strRef>
              <c:f>'Pivot Tables'!$I$7:$I$8</c:f>
              <c:strCache>
                <c:ptCount val="1"/>
                <c:pt idx="0">
                  <c:v>Robusta</c:v>
                </c:pt>
              </c:strCache>
            </c:strRef>
          </c:tx>
          <c:spPr>
            <a:ln w="28575" cap="rnd">
              <a:solidFill>
                <a:srgbClr val="7030A0"/>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Tables'!$I$9:$I$54</c:f>
              <c:numCache>
                <c:formatCode>General</c:formatCode>
                <c:ptCount val="45"/>
                <c:pt idx="1">
                  <c:v>123</c:v>
                </c:pt>
                <c:pt idx="2">
                  <c:v>171.93999999999997</c:v>
                </c:pt>
                <c:pt idx="3">
                  <c:v>126.035</c:v>
                </c:pt>
                <c:pt idx="4">
                  <c:v>158.85</c:v>
                </c:pt>
                <c:pt idx="5">
                  <c:v>68.039999999999992</c:v>
                </c:pt>
                <c:pt idx="6">
                  <c:v>372.255</c:v>
                </c:pt>
                <c:pt idx="7">
                  <c:v>201.11499999999998</c:v>
                </c:pt>
                <c:pt idx="8">
                  <c:v>166.27499999999998</c:v>
                </c:pt>
                <c:pt idx="9">
                  <c:v>492.9</c:v>
                </c:pt>
                <c:pt idx="10">
                  <c:v>213.66499999999999</c:v>
                </c:pt>
                <c:pt idx="11">
                  <c:v>96.405000000000001</c:v>
                </c:pt>
                <c:pt idx="12">
                  <c:v>210.58999999999997</c:v>
                </c:pt>
                <c:pt idx="13">
                  <c:v>179.22</c:v>
                </c:pt>
                <c:pt idx="14">
                  <c:v>429.82999999999993</c:v>
                </c:pt>
                <c:pt idx="15">
                  <c:v>231.63000000000002</c:v>
                </c:pt>
                <c:pt idx="16">
                  <c:v>240.04</c:v>
                </c:pt>
                <c:pt idx="17">
                  <c:v>59.079999999999991</c:v>
                </c:pt>
                <c:pt idx="18">
                  <c:v>140.88</c:v>
                </c:pt>
                <c:pt idx="19">
                  <c:v>414.58499999999992</c:v>
                </c:pt>
                <c:pt idx="20">
                  <c:v>139.67999999999998</c:v>
                </c:pt>
                <c:pt idx="21">
                  <c:v>302.65999999999997</c:v>
                </c:pt>
                <c:pt idx="22">
                  <c:v>174.46999999999997</c:v>
                </c:pt>
                <c:pt idx="23">
                  <c:v>104.08499999999999</c:v>
                </c:pt>
                <c:pt idx="24">
                  <c:v>77.10499999999999</c:v>
                </c:pt>
                <c:pt idx="25">
                  <c:v>160.19499999999999</c:v>
                </c:pt>
                <c:pt idx="26">
                  <c:v>80.550000000000011</c:v>
                </c:pt>
                <c:pt idx="27">
                  <c:v>253.15499999999997</c:v>
                </c:pt>
                <c:pt idx="28">
                  <c:v>106.23999999999998</c:v>
                </c:pt>
                <c:pt idx="29">
                  <c:v>272.68999999999994</c:v>
                </c:pt>
                <c:pt idx="30">
                  <c:v>88.334999999999994</c:v>
                </c:pt>
                <c:pt idx="31">
                  <c:v>199.48999999999998</c:v>
                </c:pt>
                <c:pt idx="32">
                  <c:v>374.13499999999999</c:v>
                </c:pt>
                <c:pt idx="33">
                  <c:v>221.43999999999997</c:v>
                </c:pt>
                <c:pt idx="34">
                  <c:v>256.36500000000001</c:v>
                </c:pt>
                <c:pt idx="35">
                  <c:v>189.47499999999999</c:v>
                </c:pt>
                <c:pt idx="36">
                  <c:v>212.07499999999999</c:v>
                </c:pt>
                <c:pt idx="37">
                  <c:v>146.685</c:v>
                </c:pt>
                <c:pt idx="38">
                  <c:v>53.759999999999991</c:v>
                </c:pt>
                <c:pt idx="39">
                  <c:v>399.52499999999998</c:v>
                </c:pt>
                <c:pt idx="40">
                  <c:v>200.25499999999997</c:v>
                </c:pt>
                <c:pt idx="41">
                  <c:v>304.46999999999997</c:v>
                </c:pt>
                <c:pt idx="42">
                  <c:v>379.31</c:v>
                </c:pt>
                <c:pt idx="43">
                  <c:v>141.69999999999999</c:v>
                </c:pt>
                <c:pt idx="44">
                  <c:v>71.06</c:v>
                </c:pt>
              </c:numCache>
            </c:numRef>
          </c:val>
          <c:smooth val="0"/>
          <c:extLst>
            <c:ext xmlns:c16="http://schemas.microsoft.com/office/drawing/2014/chart" uri="{C3380CC4-5D6E-409C-BE32-E72D297353CC}">
              <c16:uniqueId val="{00000010-3509-4BE1-A0A4-63E5B66C13D0}"/>
            </c:ext>
          </c:extLst>
        </c:ser>
        <c:ser>
          <c:idx val="4"/>
          <c:order val="4"/>
          <c:tx>
            <c:strRef>
              <c:f>'Pivot Tables'!$J$7:$J$8</c:f>
              <c:strCache>
                <c:ptCount val="1"/>
                <c:pt idx="0">
                  <c:v>(blank)</c:v>
                </c:pt>
              </c:strCache>
            </c:strRef>
          </c:tx>
          <c:spPr>
            <a:ln w="28575" cap="rnd">
              <a:solidFill>
                <a:schemeClr val="accent5"/>
              </a:solidFill>
              <a:round/>
            </a:ln>
            <a:effectLst/>
          </c:spPr>
          <c:marker>
            <c:symbol val="none"/>
          </c:marker>
          <c:cat>
            <c:multiLvlStrRef>
              <c:f>'Pivot Tables'!$C$9:$E$54</c:f>
              <c:multiLvlStrCache>
                <c:ptCount val="45"/>
                <c:lvl>
                  <c:pt idx="0">
                    <c:v>&lt;02-01-2019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&lt;02-01-2019</c:v>
                  </c:pt>
                  <c:pt idx="1">
                    <c:v>2019</c:v>
                  </c:pt>
                  <c:pt idx="13">
                    <c:v>2020</c:v>
                  </c:pt>
                  <c:pt idx="25">
                    <c:v>2021</c:v>
                  </c:pt>
                  <c:pt idx="37">
                    <c:v>2022</c:v>
                  </c:pt>
                </c:lvl>
              </c:multiLvlStrCache>
            </c:multiLvlStrRef>
          </c:cat>
          <c:val>
            <c:numRef>
              <c:f>'Pivot Tables'!$J$9:$J$54</c:f>
              <c:numCache>
                <c:formatCode>General</c:formatCode>
                <c:ptCount val="45"/>
              </c:numCache>
            </c:numRef>
          </c:val>
          <c:smooth val="0"/>
          <c:extLst>
            <c:ext xmlns:c16="http://schemas.microsoft.com/office/drawing/2014/chart" uri="{C3380CC4-5D6E-409C-BE32-E72D297353CC}">
              <c16:uniqueId val="{00000001-CD58-43C0-B2B9-3CDB659B969B}"/>
            </c:ext>
          </c:extLst>
        </c:ser>
        <c:dLbls>
          <c:showLegendKey val="0"/>
          <c:showVal val="0"/>
          <c:showCatName val="0"/>
          <c:showSerName val="0"/>
          <c:showPercent val="0"/>
          <c:showBubbleSize val="0"/>
        </c:dLbls>
        <c:smooth val="0"/>
        <c:axId val="1871237904"/>
        <c:axId val="1871228304"/>
      </c:lineChart>
      <c:catAx>
        <c:axId val="18712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1228304"/>
        <c:crosses val="autoZero"/>
        <c:auto val="1"/>
        <c:lblAlgn val="ctr"/>
        <c:lblOffset val="100"/>
        <c:noMultiLvlLbl val="0"/>
      </c:catAx>
      <c:valAx>
        <c:axId val="187122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23790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FC7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Analysis.xlsx]Country Bar chart!PivotTable8</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42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8844"/>
          </a:solidFill>
          <a:ln>
            <a:noFill/>
          </a:ln>
          <a:effectLst/>
        </c:spPr>
      </c:pivotFmt>
      <c:pivotFmt>
        <c:idx val="2"/>
        <c:spPr>
          <a:solidFill>
            <a:srgbClr val="FFC000"/>
          </a:solidFill>
          <a:ln>
            <a:noFill/>
          </a:ln>
          <a:effectLst/>
        </c:spPr>
      </c:pivotFmt>
      <c:pivotFmt>
        <c:idx val="3"/>
        <c:spPr>
          <a:solidFill>
            <a:srgbClr val="0042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pivotFmt>
      <c:pivotFmt>
        <c:idx val="5"/>
        <c:spPr>
          <a:solidFill>
            <a:srgbClr val="448844"/>
          </a:solidFill>
          <a:ln>
            <a:noFill/>
          </a:ln>
          <a:effectLst/>
        </c:spPr>
      </c:pivotFmt>
      <c:pivotFmt>
        <c:idx val="6"/>
        <c:spPr>
          <a:solidFill>
            <a:srgbClr val="0042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pivotFmt>
      <c:pivotFmt>
        <c:idx val="8"/>
        <c:spPr>
          <a:solidFill>
            <a:srgbClr val="448844"/>
          </a:solidFill>
          <a:ln>
            <a:noFill/>
          </a:ln>
          <a:effectLst/>
        </c:spPr>
      </c:pivotFmt>
    </c:pivotFmts>
    <c:plotArea>
      <c:layout/>
      <c:barChart>
        <c:barDir val="bar"/>
        <c:grouping val="clustered"/>
        <c:varyColors val="0"/>
        <c:ser>
          <c:idx val="0"/>
          <c:order val="0"/>
          <c:tx>
            <c:strRef>
              <c:f>'Country Bar chart'!$D$7</c:f>
              <c:strCache>
                <c:ptCount val="1"/>
                <c:pt idx="0">
                  <c:v>Total</c:v>
                </c:pt>
              </c:strCache>
            </c:strRef>
          </c:tx>
          <c:spPr>
            <a:solidFill>
              <a:srgbClr val="004274"/>
            </a:solidFill>
            <a:ln>
              <a:noFill/>
            </a:ln>
            <a:effectLst/>
          </c:spPr>
          <c:invertIfNegative val="0"/>
          <c:dPt>
            <c:idx val="0"/>
            <c:invertIfNegative val="0"/>
            <c:bubble3D val="0"/>
            <c:extLst>
              <c:ext xmlns:c16="http://schemas.microsoft.com/office/drawing/2014/chart" uri="{C3380CC4-5D6E-409C-BE32-E72D297353CC}">
                <c16:uniqueId val="{00000001-7F2D-423C-A08C-3F67332E0D32}"/>
              </c:ext>
            </c:extLst>
          </c:dPt>
          <c:dPt>
            <c:idx val="1"/>
            <c:invertIfNegative val="0"/>
            <c:bubble3D val="0"/>
            <c:spPr>
              <a:solidFill>
                <a:srgbClr val="448844"/>
              </a:solidFill>
              <a:ln>
                <a:noFill/>
              </a:ln>
              <a:effectLst/>
            </c:spPr>
            <c:extLst>
              <c:ext xmlns:c16="http://schemas.microsoft.com/office/drawing/2014/chart" uri="{C3380CC4-5D6E-409C-BE32-E72D297353CC}">
                <c16:uniqueId val="{00000003-7F2D-423C-A08C-3F67332E0D32}"/>
              </c:ext>
            </c:extLst>
          </c:dPt>
          <c:dPt>
            <c:idx val="2"/>
            <c:invertIfNegative val="0"/>
            <c:bubble3D val="0"/>
            <c:spPr>
              <a:solidFill>
                <a:srgbClr val="FFC000"/>
              </a:solidFill>
              <a:ln>
                <a:noFill/>
              </a:ln>
              <a:effectLst/>
            </c:spPr>
            <c:extLst>
              <c:ext xmlns:c16="http://schemas.microsoft.com/office/drawing/2014/chart" uri="{C3380CC4-5D6E-409C-BE32-E72D297353CC}">
                <c16:uniqueId val="{00000004-6357-465A-9309-54F01483EC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chart'!$C$8:$C$12</c:f>
              <c:strCache>
                <c:ptCount val="4"/>
                <c:pt idx="0">
                  <c:v>(blank)</c:v>
                </c:pt>
                <c:pt idx="1">
                  <c:v>United Kingdom</c:v>
                </c:pt>
                <c:pt idx="2">
                  <c:v>Ireland</c:v>
                </c:pt>
                <c:pt idx="3">
                  <c:v>United States</c:v>
                </c:pt>
              </c:strCache>
            </c:strRef>
          </c:cat>
          <c:val>
            <c:numRef>
              <c:f>'Country Bar chart'!$D$8:$D$12</c:f>
              <c:numCache>
                <c:formatCode>[$$-409]#,##0</c:formatCode>
                <c:ptCount val="4"/>
                <c:pt idx="1">
                  <c:v>2798.5050000000001</c:v>
                </c:pt>
                <c:pt idx="2">
                  <c:v>6696.8649999999989</c:v>
                </c:pt>
                <c:pt idx="3">
                  <c:v>35638.88499999998</c:v>
                </c:pt>
              </c:numCache>
            </c:numRef>
          </c:val>
          <c:extLst>
            <c:ext xmlns:c16="http://schemas.microsoft.com/office/drawing/2014/chart" uri="{C3380CC4-5D6E-409C-BE32-E72D297353CC}">
              <c16:uniqueId val="{00000004-7F2D-423C-A08C-3F67332E0D32}"/>
            </c:ext>
          </c:extLst>
        </c:ser>
        <c:dLbls>
          <c:dLblPos val="outEnd"/>
          <c:showLegendKey val="0"/>
          <c:showVal val="1"/>
          <c:showCatName val="0"/>
          <c:showSerName val="0"/>
          <c:showPercent val="0"/>
          <c:showBubbleSize val="0"/>
        </c:dLbls>
        <c:gapWidth val="182"/>
        <c:axId val="1216579936"/>
        <c:axId val="1216581856"/>
      </c:barChart>
      <c:catAx>
        <c:axId val="1216579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216581856"/>
        <c:crosses val="autoZero"/>
        <c:auto val="1"/>
        <c:lblAlgn val="ctr"/>
        <c:lblOffset val="100"/>
        <c:noMultiLvlLbl val="0"/>
      </c:catAx>
      <c:valAx>
        <c:axId val="1216581856"/>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21657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FC7FF"/>
    </a:solidFill>
    <a:ln w="9525" cap="flat" cmpd="sng" algn="ctr">
      <a:solidFill>
        <a:schemeClr val="tx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Analysis.xlsx]Top 5 customer!PivotTable8</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5 Customer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customer'!$D$7</c:f>
              <c:strCache>
                <c:ptCount val="1"/>
                <c:pt idx="0">
                  <c:v>Total</c:v>
                </c:pt>
              </c:strCache>
            </c:strRef>
          </c:tx>
          <c:spPr>
            <a:solidFill>
              <a:srgbClr val="7030A0"/>
            </a:solidFill>
            <a:ln>
              <a:noFill/>
            </a:ln>
            <a:effectLst/>
          </c:spPr>
          <c:invertIfNegative val="0"/>
          <c:cat>
            <c:strRef>
              <c:f>'Top 5 customer'!$C$8:$C$13</c:f>
              <c:strCache>
                <c:ptCount val="5"/>
                <c:pt idx="0">
                  <c:v>Don Flintiff</c:v>
                </c:pt>
                <c:pt idx="1">
                  <c:v>Nealson Cuttler</c:v>
                </c:pt>
                <c:pt idx="2">
                  <c:v>Terri Farra</c:v>
                </c:pt>
                <c:pt idx="3">
                  <c:v>Brenn Dundredge</c:v>
                </c:pt>
                <c:pt idx="4">
                  <c:v>Allis Wilmore</c:v>
                </c:pt>
              </c:strCache>
            </c:strRef>
          </c:cat>
          <c:val>
            <c:numRef>
              <c:f>'Top 5 customer'!$D$8:$D$13</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C8A-4822-B305-9D9D61A9BC00}"/>
            </c:ext>
          </c:extLst>
        </c:ser>
        <c:dLbls>
          <c:showLegendKey val="0"/>
          <c:showVal val="0"/>
          <c:showCatName val="0"/>
          <c:showSerName val="0"/>
          <c:showPercent val="0"/>
          <c:showBubbleSize val="0"/>
        </c:dLbls>
        <c:gapWidth val="182"/>
        <c:axId val="1453350976"/>
        <c:axId val="1453351936"/>
      </c:barChart>
      <c:catAx>
        <c:axId val="145335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3351936"/>
        <c:crosses val="autoZero"/>
        <c:auto val="1"/>
        <c:lblAlgn val="ctr"/>
        <c:lblOffset val="100"/>
        <c:noMultiLvlLbl val="0"/>
      </c:catAx>
      <c:valAx>
        <c:axId val="1453351936"/>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335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FC7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466345</xdr:colOff>
      <xdr:row>20</xdr:row>
      <xdr:rowOff>123402</xdr:rowOff>
    </xdr:from>
    <xdr:to>
      <xdr:col>22</xdr:col>
      <xdr:colOff>541020</xdr:colOff>
      <xdr:row>40</xdr:row>
      <xdr:rowOff>123401</xdr:rowOff>
    </xdr:to>
    <xdr:graphicFrame macro="">
      <xdr:nvGraphicFramePr>
        <xdr:cNvPr id="2" name="Chart 1">
          <a:extLst>
            <a:ext uri="{FF2B5EF4-FFF2-40B4-BE49-F238E27FC236}">
              <a16:creationId xmlns:a16="http://schemas.microsoft.com/office/drawing/2014/main" id="{32EDB554-71CF-673C-3454-370A4E922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528715</xdr:colOff>
      <xdr:row>12</xdr:row>
      <xdr:rowOff>127221</xdr:rowOff>
    </xdr:from>
    <xdr:to>
      <xdr:col>22</xdr:col>
      <xdr:colOff>378879</xdr:colOff>
      <xdr:row>20</xdr:row>
      <xdr:rowOff>21015</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6FE5DE59-B962-A9F0-6586-04B7AD5231A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678555" y="2321781"/>
              <a:ext cx="6555764" cy="13568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655320</xdr:colOff>
      <xdr:row>5</xdr:row>
      <xdr:rowOff>114300</xdr:rowOff>
    </xdr:from>
    <xdr:to>
      <xdr:col>14</xdr:col>
      <xdr:colOff>560792</xdr:colOff>
      <xdr:row>10</xdr:row>
      <xdr:rowOff>106350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FF5DCD26-B9C7-DA80-BE99-991A510405F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66020" y="1028700"/>
              <a:ext cx="2473412" cy="90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160020</xdr:colOff>
      <xdr:row>6</xdr:row>
      <xdr:rowOff>0</xdr:rowOff>
    </xdr:from>
    <xdr:to>
      <xdr:col>23</xdr:col>
      <xdr:colOff>64695</xdr:colOff>
      <xdr:row>10</xdr:row>
      <xdr:rowOff>160021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D1512389-836B-2D71-F89D-FB094B99B9E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5186660" y="1097280"/>
              <a:ext cx="2343075" cy="891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132853</xdr:colOff>
      <xdr:row>5</xdr:row>
      <xdr:rowOff>134511</xdr:rowOff>
    </xdr:from>
    <xdr:to>
      <xdr:col>19</xdr:col>
      <xdr:colOff>30335</xdr:colOff>
      <xdr:row>10</xdr:row>
      <xdr:rowOff>99061</xdr:rowOff>
    </xdr:to>
    <mc:AlternateContent xmlns:mc="http://schemas.openxmlformats.org/markup-compatibility/2006" xmlns:a14="http://schemas.microsoft.com/office/drawing/2010/main">
      <mc:Choice Requires="a14">
        <xdr:graphicFrame macro="">
          <xdr:nvGraphicFramePr>
            <xdr:cNvPr id="8" name="Roast Type3">
              <a:extLst>
                <a:ext uri="{FF2B5EF4-FFF2-40B4-BE49-F238E27FC236}">
                  <a16:creationId xmlns:a16="http://schemas.microsoft.com/office/drawing/2014/main" id="{1AD9101C-74C4-DAB1-705B-D73034A2C9AA}"/>
                </a:ext>
              </a:extLst>
            </xdr:cNvPr>
            <xdr:cNvGraphicFramePr/>
          </xdr:nvGraphicFramePr>
          <xdr:xfrm>
            <a:off x="0" y="0"/>
            <a:ext cx="0" cy="0"/>
          </xdr:xfrm>
          <a:graphic>
            <a:graphicData uri="http://schemas.microsoft.com/office/drawing/2010/slicer">
              <sle:slicer xmlns:sle="http://schemas.microsoft.com/office/drawing/2010/slicer" name="Roast Type3"/>
            </a:graphicData>
          </a:graphic>
        </xdr:graphicFrame>
      </mc:Choice>
      <mc:Fallback xmlns="">
        <xdr:sp macro="" textlink="">
          <xdr:nvSpPr>
            <xdr:cNvPr id="0" name=""/>
            <xdr:cNvSpPr>
              <a:spLocks noTextEdit="1"/>
            </xdr:cNvSpPr>
          </xdr:nvSpPr>
          <xdr:spPr>
            <a:xfrm>
              <a:off x="12721093" y="1048911"/>
              <a:ext cx="2335882" cy="878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480060</xdr:colOff>
      <xdr:row>5</xdr:row>
      <xdr:rowOff>171450</xdr:rowOff>
    </xdr:from>
    <xdr:to>
      <xdr:col>9</xdr:col>
      <xdr:colOff>549965</xdr:colOff>
      <xdr:row>20</xdr:row>
      <xdr:rowOff>112642</xdr:rowOff>
    </xdr:to>
    <xdr:graphicFrame macro="">
      <xdr:nvGraphicFramePr>
        <xdr:cNvPr id="7" name="Chart 6">
          <a:extLst>
            <a:ext uri="{FF2B5EF4-FFF2-40B4-BE49-F238E27FC236}">
              <a16:creationId xmlns:a16="http://schemas.microsoft.com/office/drawing/2014/main" id="{B92B3908-6784-508A-2A92-7948736BA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281609</xdr:colOff>
      <xdr:row>7</xdr:row>
      <xdr:rowOff>95103</xdr:rowOff>
    </xdr:from>
    <xdr:to>
      <xdr:col>9</xdr:col>
      <xdr:colOff>443948</xdr:colOff>
      <xdr:row>22</xdr:row>
      <xdr:rowOff>155127</xdr:rowOff>
    </xdr:to>
    <xdr:graphicFrame macro="">
      <xdr:nvGraphicFramePr>
        <xdr:cNvPr id="3" name="Chart 2">
          <a:extLst>
            <a:ext uri="{FF2B5EF4-FFF2-40B4-BE49-F238E27FC236}">
              <a16:creationId xmlns:a16="http://schemas.microsoft.com/office/drawing/2014/main" id="{A9F262CB-D172-2343-6D2E-EA4C8B656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45720</xdr:rowOff>
    </xdr:from>
    <xdr:to>
      <xdr:col>25</xdr:col>
      <xdr:colOff>478888</xdr:colOff>
      <xdr:row>5</xdr:row>
      <xdr:rowOff>165296</xdr:rowOff>
    </xdr:to>
    <xdr:sp macro="" textlink="">
      <xdr:nvSpPr>
        <xdr:cNvPr id="3" name="Rectangle 2">
          <a:extLst>
            <a:ext uri="{FF2B5EF4-FFF2-40B4-BE49-F238E27FC236}">
              <a16:creationId xmlns:a16="http://schemas.microsoft.com/office/drawing/2014/main" id="{939EA0E3-BED8-0076-0AAB-8652BEC7DECD}"/>
            </a:ext>
          </a:extLst>
        </xdr:cNvPr>
        <xdr:cNvSpPr/>
      </xdr:nvSpPr>
      <xdr:spPr>
        <a:xfrm>
          <a:off x="0" y="45720"/>
          <a:ext cx="15234794" cy="962258"/>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Coffee</a:t>
          </a:r>
          <a:r>
            <a:rPr lang="en-IN" sz="4000" b="1" baseline="0"/>
            <a:t> Sales DashBoard</a:t>
          </a:r>
          <a:endParaRPr lang="en-IN" sz="4000" b="1"/>
        </a:p>
      </xdr:txBody>
    </xdr:sp>
    <xdr:clientData/>
  </xdr:twoCellAnchor>
  <xdr:twoCellAnchor>
    <xdr:from>
      <xdr:col>0</xdr:col>
      <xdr:colOff>21772</xdr:colOff>
      <xdr:row>16</xdr:row>
      <xdr:rowOff>65314</xdr:rowOff>
    </xdr:from>
    <xdr:to>
      <xdr:col>16</xdr:col>
      <xdr:colOff>370115</xdr:colOff>
      <xdr:row>46</xdr:row>
      <xdr:rowOff>141515</xdr:rowOff>
    </xdr:to>
    <xdr:graphicFrame macro="">
      <xdr:nvGraphicFramePr>
        <xdr:cNvPr id="4" name="Chart 3">
          <a:extLst>
            <a:ext uri="{FF2B5EF4-FFF2-40B4-BE49-F238E27FC236}">
              <a16:creationId xmlns:a16="http://schemas.microsoft.com/office/drawing/2014/main" id="{CC405E7D-87A4-4E8A-9601-6456D2C04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xdr:row>
      <xdr:rowOff>38100</xdr:rowOff>
    </xdr:from>
    <xdr:to>
      <xdr:col>17</xdr:col>
      <xdr:colOff>564776</xdr:colOff>
      <xdr:row>16</xdr:row>
      <xdr:rowOff>7620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F1BEBB50-AE13-4D28-B7C1-66122BC634D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1083129"/>
              <a:ext cx="10438119" cy="18200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609598</xdr:colOff>
      <xdr:row>10</xdr:row>
      <xdr:rowOff>176935</xdr:rowOff>
    </xdr:from>
    <xdr:to>
      <xdr:col>21</xdr:col>
      <xdr:colOff>424069</xdr:colOff>
      <xdr:row>16</xdr:row>
      <xdr:rowOff>7620</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CF82EC18-1F82-46BB-B1EE-23FE86A071C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482941" y="1962192"/>
              <a:ext cx="2252871" cy="941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445099</xdr:colOff>
      <xdr:row>10</xdr:row>
      <xdr:rowOff>160918</xdr:rowOff>
    </xdr:from>
    <xdr:to>
      <xdr:col>25</xdr:col>
      <xdr:colOff>493059</xdr:colOff>
      <xdr:row>16</xdr:row>
      <xdr:rowOff>7620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DAFE9E4F-A9EE-4B7B-A642-B9F260ED824D}"/>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756842" y="1946175"/>
              <a:ext cx="2486360" cy="957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3758</xdr:colOff>
      <xdr:row>6</xdr:row>
      <xdr:rowOff>17930</xdr:rowOff>
    </xdr:from>
    <xdr:to>
      <xdr:col>25</xdr:col>
      <xdr:colOff>478888</xdr:colOff>
      <xdr:row>10</xdr:row>
      <xdr:rowOff>143435</xdr:rowOff>
    </xdr:to>
    <mc:AlternateContent xmlns:mc="http://schemas.openxmlformats.org/markup-compatibility/2006" xmlns:a14="http://schemas.microsoft.com/office/drawing/2010/main">
      <mc:Choice Requires="a14">
        <xdr:graphicFrame macro="">
          <xdr:nvGraphicFramePr>
            <xdr:cNvPr id="8" name="Roast Type3 1">
              <a:extLst>
                <a:ext uri="{FF2B5EF4-FFF2-40B4-BE49-F238E27FC236}">
                  <a16:creationId xmlns:a16="http://schemas.microsoft.com/office/drawing/2014/main" id="{69FC3574-E255-4494-B014-295CD537CA75}"/>
                </a:ext>
              </a:extLst>
            </xdr:cNvPr>
            <xdr:cNvGraphicFramePr/>
          </xdr:nvGraphicFramePr>
          <xdr:xfrm>
            <a:off x="0" y="0"/>
            <a:ext cx="0" cy="0"/>
          </xdr:xfrm>
          <a:graphic>
            <a:graphicData uri="http://schemas.microsoft.com/office/drawing/2010/slicer">
              <sle:slicer xmlns:sle="http://schemas.microsoft.com/office/drawing/2010/slicer" name="Roast Type3 1"/>
            </a:graphicData>
          </a:graphic>
        </xdr:graphicFrame>
      </mc:Choice>
      <mc:Fallback xmlns="">
        <xdr:sp macro="" textlink="">
          <xdr:nvSpPr>
            <xdr:cNvPr id="0" name=""/>
            <xdr:cNvSpPr>
              <a:spLocks noTextEdit="1"/>
            </xdr:cNvSpPr>
          </xdr:nvSpPr>
          <xdr:spPr>
            <a:xfrm>
              <a:off x="10486701" y="1062959"/>
              <a:ext cx="4742330" cy="865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448235</xdr:colOff>
      <xdr:row>16</xdr:row>
      <xdr:rowOff>76200</xdr:rowOff>
    </xdr:from>
    <xdr:to>
      <xdr:col>25</xdr:col>
      <xdr:colOff>522514</xdr:colOff>
      <xdr:row>30</xdr:row>
      <xdr:rowOff>173978</xdr:rowOff>
    </xdr:to>
    <xdr:graphicFrame macro="">
      <xdr:nvGraphicFramePr>
        <xdr:cNvPr id="9" name="Chart 8">
          <a:extLst>
            <a:ext uri="{FF2B5EF4-FFF2-40B4-BE49-F238E27FC236}">
              <a16:creationId xmlns:a16="http://schemas.microsoft.com/office/drawing/2014/main" id="{3BA0BEEA-AF36-4119-9F6B-05FC5A07B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439270</xdr:colOff>
      <xdr:row>31</xdr:row>
      <xdr:rowOff>53789</xdr:rowOff>
    </xdr:from>
    <xdr:to>
      <xdr:col>25</xdr:col>
      <xdr:colOff>532194</xdr:colOff>
      <xdr:row>46</xdr:row>
      <xdr:rowOff>165096</xdr:rowOff>
    </xdr:to>
    <xdr:graphicFrame macro="">
      <xdr:nvGraphicFramePr>
        <xdr:cNvPr id="10" name="Chart 9">
          <a:extLst>
            <a:ext uri="{FF2B5EF4-FFF2-40B4-BE49-F238E27FC236}">
              <a16:creationId xmlns:a16="http://schemas.microsoft.com/office/drawing/2014/main" id="{28930E85-83F4-426A-9593-E055347FB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it K" refreshedDate="46134.934897685183" createdVersion="8" refreshedVersion="8" minRefreshableVersion="3" recordCount="1001" xr:uid="{497D8FD9-2DAC-4350-856A-FB7C76F997F1}">
  <cacheSource type="worksheet">
    <worksheetSource name="Orders"/>
  </cacheSource>
  <cacheFields count="19">
    <cacheField name="Order ID" numFmtId="0">
      <sharedItems containsBlank="1"/>
    </cacheField>
    <cacheField name="Order Date" numFmtId="165">
      <sharedItems containsNonDate="0" containsDate="1" containsString="0" containsBlank="1" minDate="2019-01-02T00:00:00" maxDate="2022-08-20T00:00:00" count="690">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m/>
      </sharedItems>
      <fieldGroup par="18"/>
    </cacheField>
    <cacheField name="Customer ID" numFmtId="0">
      <sharedItems containsBlank="1"/>
    </cacheField>
    <cacheField name="Product ID" numFmtId="0">
      <sharedItems containsBlank="1"/>
    </cacheField>
    <cacheField name="Quantity" numFmtId="0">
      <sharedItems containsString="0" containsBlank="1" containsNumber="1" containsInteger="1" minValue="1" maxValue="6"/>
    </cacheField>
    <cacheField name="Customer Name" numFmtId="0">
      <sharedItems containsBlank="1"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m/>
      </sharedItems>
    </cacheField>
    <cacheField name="Email" numFmtId="0">
      <sharedItems containsBlank="1"/>
    </cacheField>
    <cacheField name="Country" numFmtId="0">
      <sharedItems containsBlank="1" count="4">
        <s v="United States"/>
        <s v="Ireland"/>
        <s v="United Kingdom"/>
        <m/>
      </sharedItems>
    </cacheField>
    <cacheField name="Coffee Type" numFmtId="0">
      <sharedItems containsBlank="1"/>
    </cacheField>
    <cacheField name="Roast Type" numFmtId="0">
      <sharedItems containsBlank="1" count="4">
        <s v="M"/>
        <s v="L"/>
        <s v="D"/>
        <m/>
      </sharedItems>
    </cacheField>
    <cacheField name="Size" numFmtId="0">
      <sharedItems containsString="0" containsBlank="1" containsNumber="1" minValue="0.2" maxValue="2.5" count="5">
        <n v="1"/>
        <n v="0.5"/>
        <n v="2.5"/>
        <n v="0.2"/>
        <m/>
      </sharedItems>
    </cacheField>
    <cacheField name="Unit Price" numFmtId="0">
      <sharedItems containsString="0" containsBlank="1" containsNumber="1" minValue="2.6849999999999996" maxValue="36.454999999999998"/>
    </cacheField>
    <cacheField name="Sales" numFmtId="167">
      <sharedItems containsString="0" containsBlank="1" containsNumber="1" minValue="2.6849999999999996" maxValue="218.73"/>
    </cacheField>
    <cacheField name="Coffee Type2" numFmtId="0">
      <sharedItems containsBlank="1" count="5">
        <s v="Robusta"/>
        <s v="Excelsa"/>
        <s v="Arabica"/>
        <s v="Liberica"/>
        <m/>
      </sharedItems>
    </cacheField>
    <cacheField name="Roast Type3" numFmtId="0">
      <sharedItems containsBlank="1" count="4">
        <s v="Medium"/>
        <s v="Light"/>
        <s v="Dark"/>
        <m/>
      </sharedItems>
    </cacheField>
    <cacheField name="Loyalty Card" numFmtId="0">
      <sharedItems containsMixedTypes="1" containsNumber="1" containsInteger="1" minValue="0" maxValue="0" count="3">
        <s v="Yes"/>
        <s v="No"/>
        <n v="0"/>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429022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r>
    <m/>
    <x v="689"/>
    <m/>
    <m/>
    <m/>
    <x v="913"/>
    <m/>
    <x v="3"/>
    <m/>
    <x v="3"/>
    <x v="4"/>
    <m/>
    <m/>
    <x v="4"/>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9E35D2-4F96-497E-924F-2E939203F391}" name="PivotTable8" cacheId="784"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
  <location ref="C7:K54" firstHeaderRow="1" firstDataRow="2" firstDataCol="3"/>
  <pivotFields count="19">
    <pivotField compact="0" outline="0" showAll="0" defaultSubtotal="0"/>
    <pivotField axis="axisRow" compact="0" outline="0" showAll="0" defaultSubtota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x="68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0"/>
        <item x="3"/>
      </items>
    </pivotField>
    <pivotField compact="0" outline="0" showAll="0" defaultSubtotal="0">
      <items count="5">
        <item x="3"/>
        <item x="1"/>
        <item x="0"/>
        <item x="2"/>
        <item x="4"/>
      </items>
    </pivotField>
    <pivotField compact="0" outline="0" showAll="0" defaultSubtotal="0"/>
    <pivotField dataField="1" compact="0" outline="0" showAll="0" defaultSubtotal="0"/>
    <pivotField axis="axisCol" compact="0" outline="0" showAll="0" defaultSubtotal="0">
      <items count="5">
        <item x="2"/>
        <item x="1"/>
        <item x="3"/>
        <item x="0"/>
        <item x="4"/>
      </items>
    </pivotField>
    <pivotField compact="0" outline="0" showAll="0" defaultSubtotal="0">
      <items count="4">
        <item x="2"/>
        <item x="1"/>
        <item x="0"/>
        <item x="3"/>
      </items>
    </pivotField>
    <pivotField compact="0" outline="0" subtotalTop="0" showAll="0" defaultSubtotal="0">
      <items count="3">
        <item x="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x="0"/>
        <item x="1"/>
        <item x="2"/>
        <item x="3"/>
        <item x="4"/>
        <item x="5"/>
      </items>
    </pivotField>
  </pivotFields>
  <rowFields count="3">
    <field x="18"/>
    <field x="16"/>
    <field x="1"/>
  </rowFields>
  <rowItems count="46">
    <i>
      <x/>
      <x/>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6">
    <i>
      <x/>
    </i>
    <i>
      <x v="1"/>
    </i>
    <i>
      <x v="2"/>
    </i>
    <i>
      <x v="3"/>
    </i>
    <i>
      <x v="4"/>
    </i>
    <i t="grand">
      <x/>
    </i>
  </colItems>
  <dataFields count="1">
    <dataField name="Sum of Sales" fld="12" baseField="0" baseItem="0"/>
  </dataFields>
  <formats count="9">
    <format dxfId="68">
      <pivotArea dataOnly="0" fieldPosition="0">
        <references count="1">
          <reference field="18" count="1">
            <x v="0"/>
          </reference>
        </references>
      </pivotArea>
    </format>
    <format dxfId="67">
      <pivotArea outline="0" collapsedLevelsAreSubtotals="1" fieldPosition="0"/>
    </format>
    <format dxfId="66">
      <pivotArea field="18" type="button" dataOnly="0" labelOnly="1" outline="0" axis="axisRow" fieldPosition="0"/>
    </format>
    <format dxfId="65">
      <pivotArea field="16" type="button" dataOnly="0" labelOnly="1" outline="0" axis="axisRow" fieldPosition="1"/>
    </format>
    <format dxfId="64">
      <pivotArea field="1" type="button" dataOnly="0" labelOnly="1" outline="0" axis="axisRow" fieldPosition="2"/>
    </format>
    <format dxfId="63">
      <pivotArea dataOnly="0" labelOnly="1" outline="0" fieldPosition="0">
        <references count="1">
          <reference field="18" count="5">
            <x v="0"/>
            <x v="1"/>
            <x v="2"/>
            <x v="3"/>
            <x v="4"/>
          </reference>
        </references>
      </pivotArea>
    </format>
    <format dxfId="62">
      <pivotArea dataOnly="0" labelOnly="1" grandRow="1" outline="0" fieldPosition="0"/>
    </format>
    <format dxfId="61">
      <pivotArea dataOnly="0" labelOnly="1" outline="0" fieldPosition="0">
        <references count="1">
          <reference field="13" count="0"/>
        </references>
      </pivotArea>
    </format>
    <format dxfId="60">
      <pivotArea dataOnly="0" labelOnly="1" grandCol="1" outline="0"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series="1">
      <pivotArea type="data" outline="0" fieldPosition="0">
        <references count="2">
          <reference field="4294967294" count="1" selected="0">
            <x v="0"/>
          </reference>
          <reference field="13" count="1" selected="0">
            <x v="1"/>
          </reference>
        </references>
      </pivotArea>
    </chartFormat>
    <chartFormat chart="5" format="12" series="1">
      <pivotArea type="data" outline="0" fieldPosition="0">
        <references count="2">
          <reference field="4294967294" count="1" selected="0">
            <x v="0"/>
          </reference>
          <reference field="13" count="1" selected="0">
            <x v="2"/>
          </reference>
        </references>
      </pivotArea>
    </chartFormat>
    <chartFormat chart="5" format="13" series="1">
      <pivotArea type="data" outline="0" fieldPosition="0">
        <references count="2">
          <reference field="4294967294" count="1" selected="0">
            <x v="0"/>
          </reference>
          <reference field="13" count="1" selected="0">
            <x v="3"/>
          </reference>
        </references>
      </pivotArea>
    </chartFormat>
    <chartFormat chart="5" format="14" series="1">
      <pivotArea type="data" outline="0" fieldPosition="0">
        <references count="2">
          <reference field="4294967294" count="1" selected="0">
            <x v="0"/>
          </reference>
          <reference field="1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F6FCB7-A5A9-49C2-B692-98BA51E01622}" name="PivotTable8" cacheId="784" applyNumberFormats="0" applyBorderFormats="0" applyFontFormats="0" applyPatternFormats="0" applyAlignmentFormats="0" applyWidthHeightFormats="1" dataCaption="Values" updatedVersion="8" minRefreshableVersion="5" showDrill="0" useAutoFormatting="1" itemPrintTitles="1" createdVersion="8" indent="0" compact="0" compactData="0" multipleFieldFilters="0" chartFormat="14">
  <location ref="C7:D12" firstHeaderRow="1" firstDataRow="1" firstDataCol="1"/>
  <pivotFields count="19">
    <pivotField compact="0" outline="0" showAll="0" defaultSubtotal="0"/>
    <pivotField compact="0" outline="0" showAll="0" defaultSubtota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x="68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x="1"/>
        <item x="2"/>
        <item x="0"/>
        <item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4">
        <item x="2"/>
        <item x="1"/>
        <item x="0"/>
        <item x="3"/>
      </items>
    </pivotField>
    <pivotField compact="0" outline="0" showAll="0" defaultSubtotal="0">
      <items count="5">
        <item x="3"/>
        <item x="1"/>
        <item x="0"/>
        <item x="2"/>
        <item x="4"/>
      </items>
    </pivotField>
    <pivotField compact="0" outline="0" showAll="0" defaultSubtotal="0"/>
    <pivotField dataField="1" compact="0" outline="0" showAll="0" defaultSubtotal="0"/>
    <pivotField compact="0" outline="0" showAll="0" defaultSubtotal="0">
      <items count="5">
        <item x="2"/>
        <item x="1"/>
        <item x="3"/>
        <item x="0"/>
        <item x="4"/>
      </items>
    </pivotField>
    <pivotField compact="0" outline="0" showAll="0" defaultSubtotal="0">
      <items count="4">
        <item x="2"/>
        <item x="1"/>
        <item x="0"/>
        <item x="3"/>
      </items>
    </pivotField>
    <pivotField compact="0" outline="0" subtotalTop="0" showAll="0" defaultSubtotal="0">
      <items count="3">
        <item x="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x="0"/>
        <item x="1"/>
        <item x="2"/>
        <item x="3"/>
        <item x="4"/>
        <item x="5"/>
      </items>
    </pivotField>
  </pivotFields>
  <rowFields count="1">
    <field x="7"/>
  </rowFields>
  <rowItems count="5">
    <i>
      <x v="3"/>
    </i>
    <i>
      <x v="1"/>
    </i>
    <i>
      <x/>
    </i>
    <i>
      <x v="2"/>
    </i>
    <i t="grand">
      <x/>
    </i>
  </rowItems>
  <colItems count="1">
    <i/>
  </colItems>
  <dataFields count="1">
    <dataField name="Sum of Sales" fld="12" baseField="7" baseItem="0" numFmtId="168"/>
  </dataFields>
  <formats count="7">
    <format dxfId="59">
      <pivotArea outline="0" collapsedLevelsAreSubtotals="1" fieldPosition="0"/>
    </format>
    <format dxfId="58">
      <pivotArea field="18" type="button" dataOnly="0" labelOnly="1" outline="0"/>
    </format>
    <format dxfId="57">
      <pivotArea field="16" type="button" dataOnly="0" labelOnly="1" outline="0"/>
    </format>
    <format dxfId="56">
      <pivotArea field="1" type="button" dataOnly="0" labelOnly="1" outline="0"/>
    </format>
    <format dxfId="55">
      <pivotArea dataOnly="0" labelOnly="1" grandRow="1" outline="0" fieldPosition="0"/>
    </format>
    <format dxfId="54">
      <pivotArea dataOnly="0" labelOnly="1" grandCol="1" outline="0" fieldPosition="0"/>
    </format>
    <format dxfId="53">
      <pivotArea outline="0" fieldPosition="0">
        <references count="1">
          <reference field="4294967294" count="1">
            <x v="0"/>
          </reference>
        </references>
      </pivotArea>
    </format>
  </format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1"/>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7" count="1" selected="0">
            <x v="0"/>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374828-A3F6-480E-ADF9-DD10505BB3CF}" name="PivotTable8" cacheId="784" applyNumberFormats="0" applyBorderFormats="0" applyFontFormats="0" applyPatternFormats="0" applyAlignmentFormats="0" applyWidthHeightFormats="1" dataCaption="Values" updatedVersion="8" minRefreshableVersion="5" showDrill="0" useAutoFormatting="1" itemPrintTitles="1" createdVersion="8" indent="0" compact="0" compactData="0" multipleFieldFilters="0" chartFormat="18">
  <location ref="C7:D13" firstHeaderRow="1" firstDataRow="1" firstDataCol="1"/>
  <pivotFields count="19">
    <pivotField compact="0" outline="0" showAll="0" defaultSubtotal="0"/>
    <pivotField compact="0" outline="0" showAll="0" defaultSubtota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x="689"/>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x="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4">
        <item x="1"/>
        <item x="2"/>
        <item x="0"/>
        <item x="3"/>
      </items>
    </pivotField>
    <pivotField compact="0" outline="0" showAll="0" defaultSubtotal="0"/>
    <pivotField compact="0" outline="0" showAll="0" defaultSubtotal="0">
      <items count="4">
        <item x="2"/>
        <item x="1"/>
        <item x="0"/>
        <item x="3"/>
      </items>
    </pivotField>
    <pivotField compact="0" outline="0" showAll="0" defaultSubtotal="0">
      <items count="5">
        <item x="3"/>
        <item x="1"/>
        <item x="0"/>
        <item x="2"/>
        <item x="4"/>
      </items>
    </pivotField>
    <pivotField compact="0" outline="0" showAll="0" defaultSubtotal="0"/>
    <pivotField dataField="1" compact="0" outline="0" showAll="0" defaultSubtotal="0"/>
    <pivotField compact="0" outline="0" showAll="0" defaultSubtotal="0">
      <items count="5">
        <item x="2"/>
        <item x="1"/>
        <item x="3"/>
        <item x="0"/>
        <item x="4"/>
      </items>
    </pivotField>
    <pivotField compact="0" outline="0" showAll="0" defaultSubtotal="0">
      <items count="4">
        <item x="2"/>
        <item x="1"/>
        <item x="0"/>
        <item x="3"/>
      </items>
    </pivotField>
    <pivotField compact="0" outline="0" subtotalTop="0" showAll="0" defaultSubtotal="0">
      <items count="3">
        <item x="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x="0"/>
        <item x="1"/>
        <item x="2"/>
        <item x="3"/>
        <item x="4"/>
        <item x="5"/>
      </items>
    </pivotField>
  </pivotFields>
  <rowFields count="1">
    <field x="5"/>
  </rowFields>
  <rowItems count="6">
    <i>
      <x v="658"/>
    </i>
    <i>
      <x v="267"/>
    </i>
    <i>
      <x v="82"/>
    </i>
    <i>
      <x v="788"/>
    </i>
    <i>
      <x v="885"/>
    </i>
    <i t="grand">
      <x/>
    </i>
  </rowItems>
  <colItems count="1">
    <i/>
  </colItems>
  <dataFields count="1">
    <dataField name="Sum of Sales" fld="12" baseField="7" baseItem="0" numFmtId="168"/>
  </dataFields>
  <formats count="7">
    <format dxfId="52">
      <pivotArea outline="0" collapsedLevelsAreSubtotals="1" fieldPosition="0"/>
    </format>
    <format dxfId="51">
      <pivotArea field="18" type="button" dataOnly="0" labelOnly="1" outline="0"/>
    </format>
    <format dxfId="50">
      <pivotArea field="16" type="button" dataOnly="0" labelOnly="1" outline="0"/>
    </format>
    <format dxfId="49">
      <pivotArea field="1" type="button" dataOnly="0" labelOnly="1" outline="0"/>
    </format>
    <format dxfId="48">
      <pivotArea dataOnly="0" labelOnly="1" grandRow="1" outline="0" fieldPosition="0"/>
    </format>
    <format dxfId="47">
      <pivotArea dataOnly="0" labelOnly="1" grandCol="1" outline="0" fieldPosition="0"/>
    </format>
    <format dxfId="46">
      <pivotArea outline="0" fieldPosition="0">
        <references count="1">
          <reference field="4294967294" count="1">
            <x v="0"/>
          </reference>
        </references>
      </pivotArea>
    </format>
  </formats>
  <chartFormats count="7">
    <chartFormat chart="4" format="1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72018D9-9CF0-4AF8-8E8C-7D68F9178026}" sourceName="Size">
  <pivotTables>
    <pivotTable tabId="18" name="PivotTable8"/>
    <pivotTable tabId="20" name="PivotTable8"/>
    <pivotTable tabId="22" name="PivotTable8"/>
  </pivotTables>
  <data>
    <tabular pivotCacheId="429022551">
      <items count="5">
        <i x="3" s="1"/>
        <i x="1" s="1"/>
        <i x="0"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DDA820B-D26E-49F9-9A9B-09EB95B8F4EC}" sourceName="Loyalty Card">
  <pivotTables>
    <pivotTable tabId="18" name="PivotTable8"/>
    <pivotTable tabId="20" name="PivotTable8"/>
    <pivotTable tabId="22" name="PivotTable8"/>
  </pivotTables>
  <data>
    <tabular pivotCacheId="429022551">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3" xr10:uid="{34D0F20F-1D8C-4EA2-9BE9-CEF6DA411CD2}" sourceName="Roast Type3">
  <pivotTables>
    <pivotTable tabId="18" name="PivotTable8"/>
    <pivotTable tabId="20" name="PivotTable8"/>
    <pivotTable tabId="22" name="PivotTable8"/>
  </pivotTables>
  <data>
    <tabular pivotCacheId="429022551">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34BA4CD-A499-4FE3-821E-F20EB9740C83}" cache="Slicer_Size" caption="Size" columnCount="2" rowHeight="234950"/>
  <slicer name="Loyalty Card" xr10:uid="{FFBA6DB7-0C57-4F1B-AA3B-6086BCF8565B}" cache="Slicer_Loyalty_Card" caption="Loyalty Card" rowHeight="234950"/>
  <slicer name="Roast Type3" xr10:uid="{09D73367-6130-4ED2-96C3-6D24933A144A}" cache="Slicer_Roast_Type3" caption="Roast Type3"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EFA970F6-F0E1-4F6B-96DC-DA84F7D07D99}" cache="Slicer_Size" caption="Size" columnCount="2" rowHeight="234950"/>
  <slicer name="Loyalty Card 1" xr10:uid="{D90EC3C4-2453-4155-8591-DAF76FA2F669}" cache="Slicer_Loyalty_Card" caption="Loyalty Card" rowHeight="234950"/>
  <slicer name="Roast Type3 1" xr10:uid="{13F0F68F-79D8-4FEB-8097-BF737B000F43}" cache="Slicer_Roast_Type3" caption="Roast Type3"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B73C96-19FF-4629-97DD-C6C7932962BD}" name="Orders" displayName="Orders" ref="A1:P1002" totalsRowShown="0" headerRowDxfId="78">
  <autoFilter ref="A1:P1002" xr:uid="{D2B73C96-19FF-4629-97DD-C6C7932962BD}"/>
  <tableColumns count="16">
    <tableColumn id="1" xr3:uid="{3081931C-42DE-4DF2-9921-5C279D86DCA3}" name="Order ID" dataDxfId="77"/>
    <tableColumn id="2" xr3:uid="{DA944C40-326D-4684-95DC-BA69B7565AC4}" name="Order Date" dataDxfId="76"/>
    <tableColumn id="3" xr3:uid="{18520281-617A-4ECB-A4DA-4CBFB22FF21E}" name="Customer ID" dataDxfId="75"/>
    <tableColumn id="4" xr3:uid="{D914E7B4-5C9E-47A8-9CDB-A789BBD75262}" name="Product ID"/>
    <tableColumn id="5" xr3:uid="{A2261EC4-44BB-4B5E-BC55-7566FDD0BDD8}" name="Quantity" dataDxfId="74"/>
    <tableColumn id="6" xr3:uid="{1ECC0149-1A2D-4924-A65C-6077A5A62C4C}" name="Customer Name" dataDxfId="73"/>
    <tableColumn id="7" xr3:uid="{F68B65E6-F26E-44C7-ABF4-83378FF95AFB}" name="Email" dataDxfId="72"/>
    <tableColumn id="8" xr3:uid="{60F8B1CF-8E42-41AA-8846-64B9CB876B67}" name="Country" dataDxfId="71">
      <calculatedColumnFormula>_xlfn.XLOOKUP(C2,Customers!$A$2:$A$1001,Customers!$G$2:$G$1001,0)</calculatedColumnFormula>
    </tableColumn>
    <tableColumn id="9" xr3:uid="{FC04F5AA-3E9B-4FA4-9195-861E8ED1F11E}" name="Coffee Type">
      <calculatedColumnFormula>INDEX(Products!$A$1:$G$49,MATCH(Orders!$D2,Products!$A$1:$A$49,0),MATCH(Orders!I$1,Products!$A$1:$G$1,0))</calculatedColumnFormula>
    </tableColumn>
    <tableColumn id="10" xr3:uid="{019AF95A-E89D-4C8D-92F3-E6191E637F36}" name="Roast Type">
      <calculatedColumnFormula>INDEX(Products!$A$1:$G$49,MATCH(Orders!$D2,Products!$A$1:$A$49,0),MATCH(Orders!J$1,Products!$A$1:$G$1,0))</calculatedColumnFormula>
    </tableColumn>
    <tableColumn id="11" xr3:uid="{7F262FA3-14DA-465E-A1F0-51491E374ED4}" name="Size">
      <calculatedColumnFormula>INDEX(Products!$A$1:$G$49,MATCH(Orders!$D2,Products!$A$1:$A$49,0),MATCH(Orders!K$1,Products!$A$1:$G$1,0))</calculatedColumnFormula>
    </tableColumn>
    <tableColumn id="12" xr3:uid="{9AD4B6BA-0B92-44EE-9EDB-CAC8A1309826}" name="Unit Price">
      <calculatedColumnFormula>INDEX(Products!$A$1:$G$49,MATCH(Orders!$D2,Products!$A$1:$A$49,0),MATCH(Orders!L$1,Products!$A$1:$G$1,0))</calculatedColumnFormula>
    </tableColumn>
    <tableColumn id="13" xr3:uid="{8336CB7C-288F-46B3-8CF0-DDD8310BE688}" name="Sales" dataDxfId="70">
      <calculatedColumnFormula>L2*E2</calculatedColumnFormula>
    </tableColumn>
    <tableColumn id="14" xr3:uid="{30F58105-4F29-49E9-81BE-8D5363A8C2BA}" name="Coffee Type2">
      <calculatedColumnFormula>IF(I2="Rob","Robusta",IF(I2="Exc","Excelsa",IF(I2="Ara","Arabica",IF(I2="Lib","Liberica",""))))</calculatedColumnFormula>
    </tableColumn>
    <tableColumn id="15" xr3:uid="{322FE957-6FA0-4F78-9E24-E104480A66D2}" name="Roast Type3">
      <calculatedColumnFormula>IF(J2="M","Medium",IF(J2="L","Light",IF(J2="D","Dark","")))</calculatedColumnFormula>
    </tableColumn>
    <tableColumn id="16" xr3:uid="{780F8503-C82B-47F6-B06A-52720982D4A5}" name="Loyalty Card" dataDxfId="69">
      <calculatedColumnFormula>_xlfn.XLOOKUP(Orders[[#This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0401CDD-3AD2-4CA1-A44F-61E9F801E35C}" sourceName="Order Date">
  <pivotTables>
    <pivotTable tabId="18" name="PivotTable8"/>
    <pivotTable tabId="20" name="PivotTable8"/>
    <pivotTable tabId="22" name="PivotTable8"/>
  </pivotTables>
  <state minimalRefreshVersion="6" lastRefreshVersion="6" pivotCacheId="42902255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9B4DAF7-0ED8-4EFD-B186-4A39876974FF}"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CC4C493-1CC6-4643-BD69-623EA3E23242}" cache="NativeTimeline_Order_Date" caption="Order Date" level="2" selectionLevel="2" scrollPosition="2021-02-26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2000"/>
  <sheetViews>
    <sheetView zoomScale="85" zoomScaleNormal="85" workbookViewId="0">
      <selection activeCell="P6" sqref="P6"/>
    </sheetView>
  </sheetViews>
  <sheetFormatPr defaultRowHeight="14.4" x14ac:dyDescent="0.3"/>
  <cols>
    <col min="1" max="1" width="16.5546875" bestFit="1" customWidth="1"/>
    <col min="2" max="2" width="12.77734375" style="4" customWidth="1"/>
    <col min="3" max="3" width="17.44140625" bestFit="1" customWidth="1"/>
    <col min="4" max="4" width="12.44140625" customWidth="1"/>
    <col min="5" max="5" width="10.88671875" customWidth="1"/>
    <col min="6" max="6" width="21.88671875" bestFit="1" customWidth="1"/>
    <col min="7" max="7" width="36" bestFit="1" customWidth="1"/>
    <col min="8" max="8" width="14.33203125" bestFit="1" customWidth="1"/>
    <col min="9" max="9" width="13.33203125" customWidth="1"/>
    <col min="10" max="10" width="12.6640625" customWidth="1"/>
    <col min="11" max="11" width="6.21875" customWidth="1"/>
    <col min="12" max="12" width="12.77734375" customWidth="1"/>
    <col min="13" max="13" width="8.6640625" bestFit="1" customWidth="1"/>
    <col min="14" max="14" width="14.33203125" customWidth="1"/>
    <col min="15" max="15" width="13.77734375" customWidth="1"/>
    <col min="16" max="16" width="14.6640625" bestFit="1" customWidth="1"/>
  </cols>
  <sheetData>
    <row r="1" spans="1:16" x14ac:dyDescent="0.3">
      <c r="A1" s="2" t="s">
        <v>0</v>
      </c>
      <c r="B1" s="3" t="s">
        <v>1</v>
      </c>
      <c r="C1" s="2" t="s">
        <v>3</v>
      </c>
      <c r="D1" s="2" t="s">
        <v>11</v>
      </c>
      <c r="E1" s="2" t="s">
        <v>14</v>
      </c>
      <c r="F1" s="2" t="s">
        <v>4</v>
      </c>
      <c r="G1" s="2" t="s">
        <v>2</v>
      </c>
      <c r="H1" s="2" t="s">
        <v>7</v>
      </c>
      <c r="I1" s="2" t="s">
        <v>9</v>
      </c>
      <c r="J1" s="2" t="s">
        <v>10</v>
      </c>
      <c r="K1" s="2" t="s">
        <v>12</v>
      </c>
      <c r="L1" s="6" t="s">
        <v>13</v>
      </c>
      <c r="M1" s="6" t="s">
        <v>15</v>
      </c>
      <c r="N1" s="2" t="s">
        <v>6196</v>
      </c>
      <c r="O1" s="2" t="s">
        <v>6197</v>
      </c>
      <c r="P1" s="2" t="s">
        <v>6189</v>
      </c>
    </row>
    <row r="2" spans="1:16" x14ac:dyDescent="0.3">
      <c r="A2" s="2" t="s">
        <v>490</v>
      </c>
      <c r="B2" s="3">
        <v>43713</v>
      </c>
      <c r="C2" s="2" t="s">
        <v>491</v>
      </c>
      <c r="D2" t="s">
        <v>6138</v>
      </c>
      <c r="E2" s="2">
        <v>2</v>
      </c>
      <c r="F2" s="2" t="str">
        <f>_xlfn.XLOOKUP(C2,Customers!$A$2:$A$1001,Customers!$B$2:$B$1001,0)</f>
        <v>Aloisia Allner</v>
      </c>
      <c r="G2" s="2" t="str">
        <f>IF(_xlfn.XLOOKUP(C2,Customers!$A$2:$A$1001,Customers!$C$2:$C$1001)=0,"",_xlfn.XLOOKUP(C2,Customers!$A$2:$A$1001,Customers!$C$2:$C$1001))</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 t="shared" ref="M2:M65" si="0">L2*E2</f>
        <v>19.899999999999999</v>
      </c>
      <c r="N2" t="str">
        <f t="shared" ref="N2:N65" si="1">IF(I2="Rob","Robusta",IF(I2="Exc","Excelsa",IF(I2="Ara","Arabica",IF(I2="Lib","Liberica",""))))</f>
        <v>Robusta</v>
      </c>
      <c r="O2" t="str">
        <f t="shared" ref="O2:O65" si="2">IF(J2="M","Medium",IF(J2="L","Light",IF(J2="D","Dark","")))</f>
        <v>Medium</v>
      </c>
      <c r="P2" t="str">
        <f>_xlfn.XLOOKUP(Orders[[#This Row],[Customer ID]],Customers!$A$2:$A$1001,Customers!$I$2:$I$1001,0)</f>
        <v>Yes</v>
      </c>
    </row>
    <row r="3" spans="1:16" x14ac:dyDescent="0.3">
      <c r="A3" s="2" t="s">
        <v>490</v>
      </c>
      <c r="B3" s="3">
        <v>43713</v>
      </c>
      <c r="C3" s="2" t="s">
        <v>491</v>
      </c>
      <c r="D3" t="s">
        <v>6139</v>
      </c>
      <c r="E3" s="2">
        <v>5</v>
      </c>
      <c r="F3" s="2" t="str">
        <f>_xlfn.XLOOKUP(C3,Customers!$A$2:$A$1001,Customers!$B$2:$B$1001,0)</f>
        <v>Aloisia Allner</v>
      </c>
      <c r="G3" s="2" t="str">
        <f>IF(_xlfn.XLOOKUP(C3,Customers!$A$2:$A$1001,Customers!$C$2:$C$1001)=0,"",_xlfn.XLOOKUP(C3,Customers!$A$2:$A$1001,Customers!$C$2:$C$1001))</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si="0"/>
        <v>41.25</v>
      </c>
      <c r="N3" t="str">
        <f t="shared" si="1"/>
        <v>Excelsa</v>
      </c>
      <c r="O3" t="str">
        <f t="shared" si="2"/>
        <v>Medium</v>
      </c>
      <c r="P3" t="str">
        <f>_xlfn.XLOOKUP(Orders[[#This Row],[Customer ID]],Customers!$A$2:$A$1001,Customers!$I$2:$I$1001,0)</f>
        <v>Yes</v>
      </c>
    </row>
    <row r="4" spans="1:16" x14ac:dyDescent="0.3">
      <c r="A4" s="2" t="s">
        <v>501</v>
      </c>
      <c r="B4" s="3">
        <v>44364</v>
      </c>
      <c r="C4" s="2" t="s">
        <v>502</v>
      </c>
      <c r="D4" t="s">
        <v>6140</v>
      </c>
      <c r="E4" s="2">
        <v>1</v>
      </c>
      <c r="F4" s="2" t="str">
        <f>_xlfn.XLOOKUP(C4,Customers!$A$2:$A$1001,Customers!$B$2:$B$1001,0)</f>
        <v>Jami Redholes</v>
      </c>
      <c r="G4" s="2" t="str">
        <f>IF(_xlfn.XLOOKUP(C4,Customers!$A$2:$A$1001,Customers!$C$2:$C$1001)=0,"",_xlfn.XLOOKUP(C4,Customers!$A$2:$A$1001,Customers!$C$2:$C$1001))</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_xlfn.XLOOKUP(Orders[[#This Row],[Customer ID]],Customers!$A$2:$A$1001,Customers!$I$2:$I$1001,0)</f>
        <v>Yes</v>
      </c>
    </row>
    <row r="5" spans="1:16" x14ac:dyDescent="0.3">
      <c r="A5" s="2" t="s">
        <v>512</v>
      </c>
      <c r="B5" s="3">
        <v>44392</v>
      </c>
      <c r="C5" s="2" t="s">
        <v>513</v>
      </c>
      <c r="D5" t="s">
        <v>6141</v>
      </c>
      <c r="E5" s="2">
        <v>2</v>
      </c>
      <c r="F5" s="2" t="str">
        <f>_xlfn.XLOOKUP(C5,Customers!$A$2:$A$1001,Customers!$B$2:$B$1001,0)</f>
        <v>Christoffer O' Shea</v>
      </c>
      <c r="G5" s="2" t="str">
        <f>IF(_xlfn.XLOOKUP(C5,Customers!$A$2:$A$1001,Customers!$C$2:$C$1001)=0,"",_xlfn.XLOOKUP(C5,Customers!$A$2:$A$1001,Customers!$C$2:$C$1001))</f>
        <v/>
      </c>
      <c r="H5" s="2" t="str">
        <f>_xlfn.XLOOKUP(C5,Customers!$A$2:$A$1001,Customers!$G$2:$G$1001,0)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_xlfn.XLOOKUP(Orders[[#This Row],[Customer ID]],Customers!$A$2:$A$1001,Customers!$I$2:$I$1001,0)</f>
        <v>No</v>
      </c>
    </row>
    <row r="6" spans="1:16" x14ac:dyDescent="0.3">
      <c r="A6" s="2" t="s">
        <v>512</v>
      </c>
      <c r="B6" s="3">
        <v>44392</v>
      </c>
      <c r="C6" s="2" t="s">
        <v>513</v>
      </c>
      <c r="D6" t="s">
        <v>6142</v>
      </c>
      <c r="E6" s="2">
        <v>2</v>
      </c>
      <c r="F6" s="2" t="str">
        <f>_xlfn.XLOOKUP(C6,Customers!$A$2:$A$1001,Customers!$B$2:$B$1001,0)</f>
        <v>Christoffer O' Shea</v>
      </c>
      <c r="G6" s="2" t="str">
        <f>IF(_xlfn.XLOOKUP(C6,Customers!$A$2:$A$1001,Customers!$C$2:$C$1001)=0,"",_xlfn.XLOOKUP(C6,Customers!$A$2:$A$1001,Customers!$C$2:$C$1001))</f>
        <v/>
      </c>
      <c r="H6" s="2" t="str">
        <f>_xlfn.XLOOKUP(C6,Customers!$A$2:$A$1001,Customers!$G$2:$G$1001,0)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_xlfn.XLOOKUP(Orders[[#This Row],[Customer ID]],Customers!$A$2:$A$1001,Customers!$I$2:$I$1001,0)</f>
        <v>No</v>
      </c>
    </row>
    <row r="7" spans="1:16" x14ac:dyDescent="0.3">
      <c r="A7" s="2" t="s">
        <v>519</v>
      </c>
      <c r="B7" s="3">
        <v>44412</v>
      </c>
      <c r="C7" s="2" t="s">
        <v>520</v>
      </c>
      <c r="D7" t="s">
        <v>6143</v>
      </c>
      <c r="E7" s="2">
        <v>3</v>
      </c>
      <c r="F7" s="2" t="str">
        <f>_xlfn.XLOOKUP(C7,Customers!$A$2:$A$1001,Customers!$B$2:$B$1001,0)</f>
        <v>Beryle Cottier</v>
      </c>
      <c r="G7" s="2" t="str">
        <f>IF(_xlfn.XLOOKUP(C7,Customers!$A$2:$A$1001,Customers!$C$2:$C$1001)=0,"",_xlfn.XLOOKUP(C7,Customers!$A$2:$A$1001,Customers!$C$2:$C$1001))</f>
        <v/>
      </c>
      <c r="H7" s="2" t="str">
        <f>_xlfn.XLOOKUP(C7,Customers!$A$2:$A$1001,Customers!$G$2:$G$1001,0)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_xlfn.XLOOKUP(Orders[[#This Row],[Customer ID]],Customers!$A$2:$A$1001,Customers!$I$2:$I$1001,0)</f>
        <v>No</v>
      </c>
    </row>
    <row r="8" spans="1:16" x14ac:dyDescent="0.3">
      <c r="A8" s="2" t="s">
        <v>524</v>
      </c>
      <c r="B8" s="3">
        <v>44582</v>
      </c>
      <c r="C8" s="2" t="s">
        <v>525</v>
      </c>
      <c r="D8" t="s">
        <v>6144</v>
      </c>
      <c r="E8" s="2">
        <v>3</v>
      </c>
      <c r="F8" s="2" t="str">
        <f>_xlfn.XLOOKUP(C8,Customers!$A$2:$A$1001,Customers!$B$2:$B$1001,0)</f>
        <v>Shaylynn Lobe</v>
      </c>
      <c r="G8" s="2" t="str">
        <f>IF(_xlfn.XLOOKUP(C8,Customers!$A$2:$A$1001,Customers!$C$2:$C$1001)=0,"",_xlfn.XLOOKUP(C8,Customers!$A$2:$A$1001,Customers!$C$2:$C$1001))</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_xlfn.XLOOKUP(Orders[[#This Row],[Customer ID]],Customers!$A$2:$A$1001,Customers!$I$2:$I$1001,0)</f>
        <v>Yes</v>
      </c>
    </row>
    <row r="9" spans="1:16" x14ac:dyDescent="0.3">
      <c r="A9" s="2" t="s">
        <v>530</v>
      </c>
      <c r="B9" s="3">
        <v>44701</v>
      </c>
      <c r="C9" s="2" t="s">
        <v>531</v>
      </c>
      <c r="D9" t="s">
        <v>6145</v>
      </c>
      <c r="E9" s="2">
        <v>1</v>
      </c>
      <c r="F9" s="2" t="str">
        <f>_xlfn.XLOOKUP(C9,Customers!$A$2:$A$1001,Customers!$B$2:$B$1001,0)</f>
        <v>Melvin Wharfe</v>
      </c>
      <c r="G9" s="2" t="str">
        <f>IF(_xlfn.XLOOKUP(C9,Customers!$A$2:$A$1001,Customers!$C$2:$C$1001)=0,"",_xlfn.XLOOKUP(C9,Customers!$A$2:$A$1001,Customers!$C$2:$C$1001))</f>
        <v/>
      </c>
      <c r="H9" s="2" t="str">
        <f>_xlfn.XLOOKUP(C9,Customers!$A$2:$A$1001,Customers!$G$2:$G$1001,0)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_xlfn.XLOOKUP(Orders[[#This Row],[Customer ID]],Customers!$A$2:$A$1001,Customers!$I$2:$I$1001,0)</f>
        <v>Yes</v>
      </c>
    </row>
    <row r="10" spans="1:16" x14ac:dyDescent="0.3">
      <c r="A10" s="2" t="s">
        <v>535</v>
      </c>
      <c r="B10" s="3">
        <v>43467</v>
      </c>
      <c r="C10" s="2" t="s">
        <v>536</v>
      </c>
      <c r="D10" t="s">
        <v>6146</v>
      </c>
      <c r="E10" s="2">
        <v>3</v>
      </c>
      <c r="F10" s="2" t="str">
        <f>_xlfn.XLOOKUP(C10,Customers!$A$2:$A$1001,Customers!$B$2:$B$1001,0)</f>
        <v>Guthrey Petracci</v>
      </c>
      <c r="G10" s="2" t="str">
        <f>IF(_xlfn.XLOOKUP(C10,Customers!$A$2:$A$1001,Customers!$C$2:$C$1001)=0,"",_xlfn.XLOOKUP(C10,Customers!$A$2:$A$1001,Customers!$C$2:$C$1001))</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_xlfn.XLOOKUP(Orders[[#This Row],[Customer ID]],Customers!$A$2:$A$1001,Customers!$I$2:$I$1001,0)</f>
        <v>No</v>
      </c>
    </row>
    <row r="11" spans="1:16" x14ac:dyDescent="0.3">
      <c r="A11" s="2" t="s">
        <v>541</v>
      </c>
      <c r="B11" s="3">
        <v>43713</v>
      </c>
      <c r="C11" s="2" t="s">
        <v>542</v>
      </c>
      <c r="D11" t="s">
        <v>6146</v>
      </c>
      <c r="E11" s="2">
        <v>1</v>
      </c>
      <c r="F11" s="2" t="str">
        <f>_xlfn.XLOOKUP(C11,Customers!$A$2:$A$1001,Customers!$B$2:$B$1001,0)</f>
        <v>Rodger Raven</v>
      </c>
      <c r="G11" s="2" t="str">
        <f>IF(_xlfn.XLOOKUP(C11,Customers!$A$2:$A$1001,Customers!$C$2:$C$1001)=0,"",_xlfn.XLOOKUP(C11,Customers!$A$2:$A$1001,Customers!$C$2:$C$1001))</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_xlfn.XLOOKUP(Orders[[#This Row],[Customer ID]],Customers!$A$2:$A$1001,Customers!$I$2:$I$1001,0)</f>
        <v>No</v>
      </c>
    </row>
    <row r="12" spans="1:16" x14ac:dyDescent="0.3">
      <c r="A12" s="2" t="s">
        <v>547</v>
      </c>
      <c r="B12" s="3">
        <v>44263</v>
      </c>
      <c r="C12" s="2" t="s">
        <v>548</v>
      </c>
      <c r="D12" t="s">
        <v>6147</v>
      </c>
      <c r="E12" s="2">
        <v>4</v>
      </c>
      <c r="F12" s="2" t="str">
        <f>_xlfn.XLOOKUP(C12,Customers!$A$2:$A$1001,Customers!$B$2:$B$1001,0)</f>
        <v>Ferrell Ferber</v>
      </c>
      <c r="G12" s="2" t="str">
        <f>IF(_xlfn.XLOOKUP(C12,Customers!$A$2:$A$1001,Customers!$C$2:$C$1001)=0,"",_xlfn.XLOOKUP(C12,Customers!$A$2:$A$1001,Customers!$C$2:$C$1001))</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_xlfn.XLOOKUP(Orders[[#This Row],[Customer ID]],Customers!$A$2:$A$1001,Customers!$I$2:$I$1001,0)</f>
        <v>No</v>
      </c>
    </row>
    <row r="13" spans="1:16" x14ac:dyDescent="0.3">
      <c r="A13" s="2" t="s">
        <v>553</v>
      </c>
      <c r="B13" s="3">
        <v>44132</v>
      </c>
      <c r="C13" s="2" t="s">
        <v>554</v>
      </c>
      <c r="D13" t="s">
        <v>6148</v>
      </c>
      <c r="E13" s="2">
        <v>5</v>
      </c>
      <c r="F13" s="2" t="str">
        <f>_xlfn.XLOOKUP(C13,Customers!$A$2:$A$1001,Customers!$B$2:$B$1001,0)</f>
        <v>Duky Phizackerly</v>
      </c>
      <c r="G13" s="2" t="str">
        <f>IF(_xlfn.XLOOKUP(C13,Customers!$A$2:$A$1001,Customers!$C$2:$C$1001)=0,"",_xlfn.XLOOKUP(C13,Customers!$A$2:$A$1001,Customers!$C$2:$C$1001))</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_xlfn.XLOOKUP(Orders[[#This Row],[Customer ID]],Customers!$A$2:$A$1001,Customers!$I$2:$I$1001,0)</f>
        <v>Yes</v>
      </c>
    </row>
    <row r="14" spans="1:16" x14ac:dyDescent="0.3">
      <c r="A14" s="2" t="s">
        <v>559</v>
      </c>
      <c r="B14" s="3">
        <v>44744</v>
      </c>
      <c r="C14" s="2" t="s">
        <v>560</v>
      </c>
      <c r="D14" t="s">
        <v>6138</v>
      </c>
      <c r="E14" s="2">
        <v>5</v>
      </c>
      <c r="F14" s="2" t="str">
        <f>_xlfn.XLOOKUP(C14,Customers!$A$2:$A$1001,Customers!$B$2:$B$1001,0)</f>
        <v>Rosaleen Scholar</v>
      </c>
      <c r="G14" s="2" t="str">
        <f>IF(_xlfn.XLOOKUP(C14,Customers!$A$2:$A$1001,Customers!$C$2:$C$1001)=0,"",_xlfn.XLOOKUP(C14,Customers!$A$2:$A$1001,Customers!$C$2:$C$1001))</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_xlfn.XLOOKUP(Orders[[#This Row],[Customer ID]],Customers!$A$2:$A$1001,Customers!$I$2:$I$1001,0)</f>
        <v>No</v>
      </c>
    </row>
    <row r="15" spans="1:16" x14ac:dyDescent="0.3">
      <c r="A15" s="2" t="s">
        <v>565</v>
      </c>
      <c r="B15" s="3">
        <v>43973</v>
      </c>
      <c r="C15" s="2" t="s">
        <v>566</v>
      </c>
      <c r="D15" t="s">
        <v>6149</v>
      </c>
      <c r="E15" s="2">
        <v>2</v>
      </c>
      <c r="F15" s="2" t="str">
        <f>_xlfn.XLOOKUP(C15,Customers!$A$2:$A$1001,Customers!$B$2:$B$1001,0)</f>
        <v>Terence Vanyutin</v>
      </c>
      <c r="G15" s="2" t="str">
        <f>IF(_xlfn.XLOOKUP(C15,Customers!$A$2:$A$1001,Customers!$C$2:$C$1001)=0,"",_xlfn.XLOOKUP(C15,Customers!$A$2:$A$1001,Customers!$C$2:$C$1001))</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_xlfn.XLOOKUP(Orders[[#This Row],[Customer ID]],Customers!$A$2:$A$1001,Customers!$I$2:$I$1001,0)</f>
        <v>No</v>
      </c>
    </row>
    <row r="16" spans="1:16" x14ac:dyDescent="0.3">
      <c r="A16" s="2" t="s">
        <v>570</v>
      </c>
      <c r="B16" s="3">
        <v>44656</v>
      </c>
      <c r="C16" s="2" t="s">
        <v>571</v>
      </c>
      <c r="D16" t="s">
        <v>6150</v>
      </c>
      <c r="E16" s="2">
        <v>3</v>
      </c>
      <c r="F16" s="2" t="str">
        <f>_xlfn.XLOOKUP(C16,Customers!$A$2:$A$1001,Customers!$B$2:$B$1001,0)</f>
        <v>Patrice Trobe</v>
      </c>
      <c r="G16" s="2" t="str">
        <f>IF(_xlfn.XLOOKUP(C16,Customers!$A$2:$A$1001,Customers!$C$2:$C$1001)=0,"",_xlfn.XLOOKUP(C16,Customers!$A$2:$A$1001,Customers!$C$2:$C$1001))</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_xlfn.XLOOKUP(Orders[[#This Row],[Customer ID]],Customers!$A$2:$A$1001,Customers!$I$2:$I$1001,0)</f>
        <v>Yes</v>
      </c>
    </row>
    <row r="17" spans="1:16" x14ac:dyDescent="0.3">
      <c r="A17" s="2" t="s">
        <v>576</v>
      </c>
      <c r="B17" s="3">
        <v>44719</v>
      </c>
      <c r="C17" s="2" t="s">
        <v>577</v>
      </c>
      <c r="D17" t="s">
        <v>6151</v>
      </c>
      <c r="E17" s="2">
        <v>5</v>
      </c>
      <c r="F17" s="2" t="str">
        <f>_xlfn.XLOOKUP(C17,Customers!$A$2:$A$1001,Customers!$B$2:$B$1001,0)</f>
        <v>Llywellyn Oscroft</v>
      </c>
      <c r="G17" s="2" t="str">
        <f>IF(_xlfn.XLOOKUP(C17,Customers!$A$2:$A$1001,Customers!$C$2:$C$1001)=0,"",_xlfn.XLOOKUP(C17,Customers!$A$2:$A$1001,Customers!$C$2:$C$1001))</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_xlfn.XLOOKUP(Orders[[#This Row],[Customer ID]],Customers!$A$2:$A$1001,Customers!$I$2:$I$1001,0)</f>
        <v>No</v>
      </c>
    </row>
    <row r="18" spans="1:16" x14ac:dyDescent="0.3">
      <c r="A18" s="2" t="s">
        <v>581</v>
      </c>
      <c r="B18" s="3">
        <v>43544</v>
      </c>
      <c r="C18" s="2" t="s">
        <v>582</v>
      </c>
      <c r="D18" t="s">
        <v>6152</v>
      </c>
      <c r="E18" s="2">
        <v>6</v>
      </c>
      <c r="F18" s="2" t="str">
        <f>_xlfn.XLOOKUP(C18,Customers!$A$2:$A$1001,Customers!$B$2:$B$1001,0)</f>
        <v>Minni Alabaster</v>
      </c>
      <c r="G18" s="2" t="str">
        <f>IF(_xlfn.XLOOKUP(C18,Customers!$A$2:$A$1001,Customers!$C$2:$C$1001)=0,"",_xlfn.XLOOKUP(C18,Customers!$A$2:$A$1001,Customers!$C$2:$C$1001))</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_xlfn.XLOOKUP(Orders[[#This Row],[Customer ID]],Customers!$A$2:$A$1001,Customers!$I$2:$I$1001,0)</f>
        <v>No</v>
      </c>
    </row>
    <row r="19" spans="1:16" x14ac:dyDescent="0.3">
      <c r="A19" s="2" t="s">
        <v>587</v>
      </c>
      <c r="B19" s="3">
        <v>43757</v>
      </c>
      <c r="C19" s="2" t="s">
        <v>588</v>
      </c>
      <c r="D19" t="s">
        <v>6140</v>
      </c>
      <c r="E19" s="2">
        <v>6</v>
      </c>
      <c r="F19" s="2" t="str">
        <f>_xlfn.XLOOKUP(C19,Customers!$A$2:$A$1001,Customers!$B$2:$B$1001,0)</f>
        <v>Rhianon Broxup</v>
      </c>
      <c r="G19" s="2" t="str">
        <f>IF(_xlfn.XLOOKUP(C19,Customers!$A$2:$A$1001,Customers!$C$2:$C$1001)=0,"",_xlfn.XLOOKUP(C19,Customers!$A$2:$A$1001,Customers!$C$2:$C$1001))</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_xlfn.XLOOKUP(Orders[[#This Row],[Customer ID]],Customers!$A$2:$A$1001,Customers!$I$2:$I$1001,0)</f>
        <v>No</v>
      </c>
    </row>
    <row r="20" spans="1:16" x14ac:dyDescent="0.3">
      <c r="A20" s="2" t="s">
        <v>593</v>
      </c>
      <c r="B20" s="3">
        <v>43629</v>
      </c>
      <c r="C20" s="2" t="s">
        <v>594</v>
      </c>
      <c r="D20" t="s">
        <v>6149</v>
      </c>
      <c r="E20" s="2">
        <v>4</v>
      </c>
      <c r="F20" s="2" t="str">
        <f>_xlfn.XLOOKUP(C20,Customers!$A$2:$A$1001,Customers!$B$2:$B$1001,0)</f>
        <v>Pall Redford</v>
      </c>
      <c r="G20" s="2" t="str">
        <f>IF(_xlfn.XLOOKUP(C20,Customers!$A$2:$A$1001,Customers!$C$2:$C$1001)=0,"",_xlfn.XLOOKUP(C20,Customers!$A$2:$A$1001,Customers!$C$2:$C$1001))</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_xlfn.XLOOKUP(Orders[[#This Row],[Customer ID]],Customers!$A$2:$A$1001,Customers!$I$2:$I$1001,0)</f>
        <v>Yes</v>
      </c>
    </row>
    <row r="21" spans="1:16" x14ac:dyDescent="0.3">
      <c r="A21" s="2" t="s">
        <v>598</v>
      </c>
      <c r="B21" s="3">
        <v>44169</v>
      </c>
      <c r="C21" s="2" t="s">
        <v>599</v>
      </c>
      <c r="D21" t="s">
        <v>6152</v>
      </c>
      <c r="E21" s="2">
        <v>5</v>
      </c>
      <c r="F21" s="2" t="str">
        <f>_xlfn.XLOOKUP(C21,Customers!$A$2:$A$1001,Customers!$B$2:$B$1001,0)</f>
        <v>Aurea Corradino</v>
      </c>
      <c r="G21" s="2" t="str">
        <f>IF(_xlfn.XLOOKUP(C21,Customers!$A$2:$A$1001,Customers!$C$2:$C$1001)=0,"",_xlfn.XLOOKUP(C21,Customers!$A$2:$A$1001,Customers!$C$2:$C$1001))</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_xlfn.XLOOKUP(Orders[[#This Row],[Customer ID]],Customers!$A$2:$A$1001,Customers!$I$2:$I$1001,0)</f>
        <v>Yes</v>
      </c>
    </row>
    <row r="22" spans="1:16" x14ac:dyDescent="0.3">
      <c r="A22" s="2" t="s">
        <v>598</v>
      </c>
      <c r="B22" s="3">
        <v>44169</v>
      </c>
      <c r="C22" s="2" t="s">
        <v>599</v>
      </c>
      <c r="D22" t="s">
        <v>6153</v>
      </c>
      <c r="E22" s="2">
        <v>4</v>
      </c>
      <c r="F22" s="2" t="str">
        <f>_xlfn.XLOOKUP(C22,Customers!$A$2:$A$1001,Customers!$B$2:$B$1001,0)</f>
        <v>Aurea Corradino</v>
      </c>
      <c r="G22" s="2" t="str">
        <f>IF(_xlfn.XLOOKUP(C22,Customers!$A$2:$A$1001,Customers!$C$2:$C$1001)=0,"",_xlfn.XLOOKUP(C22,Customers!$A$2:$A$1001,Customers!$C$2:$C$1001))</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_xlfn.XLOOKUP(Orders[[#This Row],[Customer ID]],Customers!$A$2:$A$1001,Customers!$I$2:$I$1001,0)</f>
        <v>Yes</v>
      </c>
    </row>
    <row r="23" spans="1:16" x14ac:dyDescent="0.3">
      <c r="A23" s="2" t="s">
        <v>608</v>
      </c>
      <c r="B23" s="3">
        <v>44169</v>
      </c>
      <c r="C23" s="2" t="s">
        <v>609</v>
      </c>
      <c r="D23" t="s">
        <v>6154</v>
      </c>
      <c r="E23" s="2">
        <v>6</v>
      </c>
      <c r="F23" s="2" t="str">
        <f>_xlfn.XLOOKUP(C23,Customers!$A$2:$A$1001,Customers!$B$2:$B$1001,0)</f>
        <v>Avrit Davidowsky</v>
      </c>
      <c r="G23" s="2" t="str">
        <f>IF(_xlfn.XLOOKUP(C23,Customers!$A$2:$A$1001,Customers!$C$2:$C$1001)=0,"",_xlfn.XLOOKUP(C23,Customers!$A$2:$A$1001,Customers!$C$2:$C$1001))</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_xlfn.XLOOKUP(Orders[[#This Row],[Customer ID]],Customers!$A$2:$A$1001,Customers!$I$2:$I$1001,0)</f>
        <v>No</v>
      </c>
    </row>
    <row r="24" spans="1:16" x14ac:dyDescent="0.3">
      <c r="A24" s="2" t="s">
        <v>614</v>
      </c>
      <c r="B24" s="3">
        <v>44218</v>
      </c>
      <c r="C24" s="2" t="s">
        <v>615</v>
      </c>
      <c r="D24" t="s">
        <v>6151</v>
      </c>
      <c r="E24" s="2">
        <v>4</v>
      </c>
      <c r="F24" s="2" t="str">
        <f>_xlfn.XLOOKUP(C24,Customers!$A$2:$A$1001,Customers!$B$2:$B$1001,0)</f>
        <v>Annabel Antuk</v>
      </c>
      <c r="G24" s="2" t="str">
        <f>IF(_xlfn.XLOOKUP(C24,Customers!$A$2:$A$1001,Customers!$C$2:$C$1001)=0,"",_xlfn.XLOOKUP(C24,Customers!$A$2:$A$1001,Customers!$C$2:$C$1001))</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_xlfn.XLOOKUP(Orders[[#This Row],[Customer ID]],Customers!$A$2:$A$1001,Customers!$I$2:$I$1001,0)</f>
        <v>Yes</v>
      </c>
    </row>
    <row r="25" spans="1:16" x14ac:dyDescent="0.3">
      <c r="A25" s="2" t="s">
        <v>620</v>
      </c>
      <c r="B25" s="3">
        <v>44603</v>
      </c>
      <c r="C25" s="2" t="s">
        <v>621</v>
      </c>
      <c r="D25" t="s">
        <v>6154</v>
      </c>
      <c r="E25" s="2">
        <v>4</v>
      </c>
      <c r="F25" s="2" t="str">
        <f>_xlfn.XLOOKUP(C25,Customers!$A$2:$A$1001,Customers!$B$2:$B$1001,0)</f>
        <v>Iorgo Kleinert</v>
      </c>
      <c r="G25" s="2" t="str">
        <f>IF(_xlfn.XLOOKUP(C25,Customers!$A$2:$A$1001,Customers!$C$2:$C$1001)=0,"",_xlfn.XLOOKUP(C25,Customers!$A$2:$A$1001,Customers!$C$2:$C$1001))</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_xlfn.XLOOKUP(Orders[[#This Row],[Customer ID]],Customers!$A$2:$A$1001,Customers!$I$2:$I$1001,0)</f>
        <v>Yes</v>
      </c>
    </row>
    <row r="26" spans="1:16" x14ac:dyDescent="0.3">
      <c r="A26" s="2" t="s">
        <v>626</v>
      </c>
      <c r="B26" s="3">
        <v>44454</v>
      </c>
      <c r="C26" s="2" t="s">
        <v>627</v>
      </c>
      <c r="D26" t="s">
        <v>6155</v>
      </c>
      <c r="E26" s="2">
        <v>1</v>
      </c>
      <c r="F26" s="2" t="str">
        <f>_xlfn.XLOOKUP(C26,Customers!$A$2:$A$1001,Customers!$B$2:$B$1001,0)</f>
        <v>Chrisy Blofeld</v>
      </c>
      <c r="G26" s="2" t="str">
        <f>IF(_xlfn.XLOOKUP(C26,Customers!$A$2:$A$1001,Customers!$C$2:$C$1001)=0,"",_xlfn.XLOOKUP(C26,Customers!$A$2:$A$1001,Customers!$C$2:$C$1001))</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_xlfn.XLOOKUP(Orders[[#This Row],[Customer ID]],Customers!$A$2:$A$1001,Customers!$I$2:$I$1001,0)</f>
        <v>No</v>
      </c>
    </row>
    <row r="27" spans="1:16" x14ac:dyDescent="0.3">
      <c r="A27" s="2" t="s">
        <v>632</v>
      </c>
      <c r="B27" s="3">
        <v>44128</v>
      </c>
      <c r="C27" s="2" t="s">
        <v>633</v>
      </c>
      <c r="D27" t="s">
        <v>6156</v>
      </c>
      <c r="E27" s="2">
        <v>3</v>
      </c>
      <c r="F27" s="2" t="str">
        <f>_xlfn.XLOOKUP(C27,Customers!$A$2:$A$1001,Customers!$B$2:$B$1001,0)</f>
        <v>Culley Farris</v>
      </c>
      <c r="G27" s="2" t="str">
        <f>IF(_xlfn.XLOOKUP(C27,Customers!$A$2:$A$1001,Customers!$C$2:$C$1001)=0,"",_xlfn.XLOOKUP(C27,Customers!$A$2:$A$1001,Customers!$C$2:$C$1001))</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_xlfn.XLOOKUP(Orders[[#This Row],[Customer ID]],Customers!$A$2:$A$1001,Customers!$I$2:$I$1001,0)</f>
        <v>Yes</v>
      </c>
    </row>
    <row r="28" spans="1:16" x14ac:dyDescent="0.3">
      <c r="A28" s="2" t="s">
        <v>637</v>
      </c>
      <c r="B28" s="3">
        <v>43516</v>
      </c>
      <c r="C28" s="2" t="s">
        <v>638</v>
      </c>
      <c r="D28" t="s">
        <v>6157</v>
      </c>
      <c r="E28" s="2">
        <v>4</v>
      </c>
      <c r="F28" s="2" t="str">
        <f>_xlfn.XLOOKUP(C28,Customers!$A$2:$A$1001,Customers!$B$2:$B$1001,0)</f>
        <v>Selene Shales</v>
      </c>
      <c r="G28" s="2" t="str">
        <f>IF(_xlfn.XLOOKUP(C28,Customers!$A$2:$A$1001,Customers!$C$2:$C$1001)=0,"",_xlfn.XLOOKUP(C28,Customers!$A$2:$A$1001,Customers!$C$2:$C$1001))</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_xlfn.XLOOKUP(Orders[[#This Row],[Customer ID]],Customers!$A$2:$A$1001,Customers!$I$2:$I$1001,0)</f>
        <v>Yes</v>
      </c>
    </row>
    <row r="29" spans="1:16" x14ac:dyDescent="0.3">
      <c r="A29" s="2" t="s">
        <v>643</v>
      </c>
      <c r="B29" s="3">
        <v>43746</v>
      </c>
      <c r="C29" s="2" t="s">
        <v>644</v>
      </c>
      <c r="D29" t="s">
        <v>6152</v>
      </c>
      <c r="E29" s="2">
        <v>5</v>
      </c>
      <c r="F29" s="2" t="str">
        <f>_xlfn.XLOOKUP(C29,Customers!$A$2:$A$1001,Customers!$B$2:$B$1001,0)</f>
        <v>Vivie Danneil</v>
      </c>
      <c r="G29" s="2" t="str">
        <f>IF(_xlfn.XLOOKUP(C29,Customers!$A$2:$A$1001,Customers!$C$2:$C$1001)=0,"",_xlfn.XLOOKUP(C29,Customers!$A$2:$A$1001,Customers!$C$2:$C$1001))</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_xlfn.XLOOKUP(Orders[[#This Row],[Customer ID]],Customers!$A$2:$A$1001,Customers!$I$2:$I$1001,0)</f>
        <v>No</v>
      </c>
    </row>
    <row r="30" spans="1:16" x14ac:dyDescent="0.3">
      <c r="A30" s="2" t="s">
        <v>649</v>
      </c>
      <c r="B30" s="3">
        <v>44775</v>
      </c>
      <c r="C30" s="2" t="s">
        <v>650</v>
      </c>
      <c r="D30" t="s">
        <v>6158</v>
      </c>
      <c r="E30" s="2">
        <v>3</v>
      </c>
      <c r="F30" s="2" t="str">
        <f>_xlfn.XLOOKUP(C30,Customers!$A$2:$A$1001,Customers!$B$2:$B$1001,0)</f>
        <v>Theresita Newbury</v>
      </c>
      <c r="G30" s="2" t="str">
        <f>IF(_xlfn.XLOOKUP(C30,Customers!$A$2:$A$1001,Customers!$C$2:$C$1001)=0,"",_xlfn.XLOOKUP(C30,Customers!$A$2:$A$1001,Customers!$C$2:$C$1001))</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_xlfn.XLOOKUP(Orders[[#This Row],[Customer ID]],Customers!$A$2:$A$1001,Customers!$I$2:$I$1001,0)</f>
        <v>No</v>
      </c>
    </row>
    <row r="31" spans="1:16" x14ac:dyDescent="0.3">
      <c r="A31" s="2" t="s">
        <v>655</v>
      </c>
      <c r="B31" s="3">
        <v>43516</v>
      </c>
      <c r="C31" s="2" t="s">
        <v>656</v>
      </c>
      <c r="D31" t="s">
        <v>6147</v>
      </c>
      <c r="E31" s="2">
        <v>4</v>
      </c>
      <c r="F31" s="2" t="str">
        <f>_xlfn.XLOOKUP(C31,Customers!$A$2:$A$1001,Customers!$B$2:$B$1001,0)</f>
        <v>Mozelle Calcutt</v>
      </c>
      <c r="G31" s="2" t="str">
        <f>IF(_xlfn.XLOOKUP(C31,Customers!$A$2:$A$1001,Customers!$C$2:$C$1001)=0,"",_xlfn.XLOOKUP(C31,Customers!$A$2:$A$1001,Customers!$C$2:$C$1001))</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_xlfn.XLOOKUP(Orders[[#This Row],[Customer ID]],Customers!$A$2:$A$1001,Customers!$I$2:$I$1001,0)</f>
        <v>Yes</v>
      </c>
    </row>
    <row r="32" spans="1:16" x14ac:dyDescent="0.3">
      <c r="A32" s="2" t="s">
        <v>661</v>
      </c>
      <c r="B32" s="3">
        <v>44464</v>
      </c>
      <c r="C32" s="2" t="s">
        <v>662</v>
      </c>
      <c r="D32" t="s">
        <v>6159</v>
      </c>
      <c r="E32" s="2">
        <v>5</v>
      </c>
      <c r="F32" s="2" t="str">
        <f>_xlfn.XLOOKUP(C32,Customers!$A$2:$A$1001,Customers!$B$2:$B$1001,0)</f>
        <v>Adrian Swaine</v>
      </c>
      <c r="G32" s="2" t="str">
        <f>IF(_xlfn.XLOOKUP(C32,Customers!$A$2:$A$1001,Customers!$C$2:$C$1001)=0,"",_xlfn.XLOOKUP(C32,Customers!$A$2:$A$1001,Customers!$C$2:$C$1001))</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_xlfn.XLOOKUP(Orders[[#This Row],[Customer ID]],Customers!$A$2:$A$1001,Customers!$I$2:$I$1001,0)</f>
        <v>No</v>
      </c>
    </row>
    <row r="33" spans="1:16" x14ac:dyDescent="0.3">
      <c r="A33" s="2" t="s">
        <v>661</v>
      </c>
      <c r="B33" s="3">
        <v>44464</v>
      </c>
      <c r="C33" s="2" t="s">
        <v>662</v>
      </c>
      <c r="D33" t="s">
        <v>6158</v>
      </c>
      <c r="E33" s="2">
        <v>6</v>
      </c>
      <c r="F33" s="2" t="str">
        <f>_xlfn.XLOOKUP(C33,Customers!$A$2:$A$1001,Customers!$B$2:$B$1001,0)</f>
        <v>Adrian Swaine</v>
      </c>
      <c r="G33" s="2" t="str">
        <f>IF(_xlfn.XLOOKUP(C33,Customers!$A$2:$A$1001,Customers!$C$2:$C$1001)=0,"",_xlfn.XLOOKUP(C33,Customers!$A$2:$A$1001,Customers!$C$2:$C$1001))</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_xlfn.XLOOKUP(Orders[[#This Row],[Customer ID]],Customers!$A$2:$A$1001,Customers!$I$2:$I$1001,0)</f>
        <v>No</v>
      </c>
    </row>
    <row r="34" spans="1:16" x14ac:dyDescent="0.3">
      <c r="A34" s="2" t="s">
        <v>661</v>
      </c>
      <c r="B34" s="3">
        <v>44464</v>
      </c>
      <c r="C34" s="2" t="s">
        <v>662</v>
      </c>
      <c r="D34" t="s">
        <v>6160</v>
      </c>
      <c r="E34" s="2">
        <v>6</v>
      </c>
      <c r="F34" s="2" t="str">
        <f>_xlfn.XLOOKUP(C34,Customers!$A$2:$A$1001,Customers!$B$2:$B$1001,0)</f>
        <v>Adrian Swaine</v>
      </c>
      <c r="G34" s="2" t="str">
        <f>IF(_xlfn.XLOOKUP(C34,Customers!$A$2:$A$1001,Customers!$C$2:$C$1001)=0,"",_xlfn.XLOOKUP(C34,Customers!$A$2:$A$1001,Customers!$C$2:$C$1001))</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_xlfn.XLOOKUP(Orders[[#This Row],[Customer ID]],Customers!$A$2:$A$1001,Customers!$I$2:$I$1001,0)</f>
        <v>No</v>
      </c>
    </row>
    <row r="35" spans="1:16" x14ac:dyDescent="0.3">
      <c r="A35" s="2" t="s">
        <v>676</v>
      </c>
      <c r="B35" s="3">
        <v>44394</v>
      </c>
      <c r="C35" s="2" t="s">
        <v>677</v>
      </c>
      <c r="D35" t="s">
        <v>6145</v>
      </c>
      <c r="E35" s="2">
        <v>5</v>
      </c>
      <c r="F35" s="2" t="str">
        <f>_xlfn.XLOOKUP(C35,Customers!$A$2:$A$1001,Customers!$B$2:$B$1001,0)</f>
        <v>Gallard Gatheral</v>
      </c>
      <c r="G35" s="2" t="str">
        <f>IF(_xlfn.XLOOKUP(C35,Customers!$A$2:$A$1001,Customers!$C$2:$C$1001)=0,"",_xlfn.XLOOKUP(C35,Customers!$A$2:$A$1001,Customers!$C$2:$C$1001))</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_xlfn.XLOOKUP(Orders[[#This Row],[Customer ID]],Customers!$A$2:$A$1001,Customers!$I$2:$I$1001,0)</f>
        <v>No</v>
      </c>
    </row>
    <row r="36" spans="1:16" x14ac:dyDescent="0.3">
      <c r="A36" s="2" t="s">
        <v>681</v>
      </c>
      <c r="B36" s="3">
        <v>44011</v>
      </c>
      <c r="C36" s="2" t="s">
        <v>682</v>
      </c>
      <c r="D36" t="s">
        <v>6161</v>
      </c>
      <c r="E36" s="2">
        <v>6</v>
      </c>
      <c r="F36" s="2" t="str">
        <f>_xlfn.XLOOKUP(C36,Customers!$A$2:$A$1001,Customers!$B$2:$B$1001,0)</f>
        <v>Una Welberry</v>
      </c>
      <c r="G36" s="2" t="str">
        <f>IF(_xlfn.XLOOKUP(C36,Customers!$A$2:$A$1001,Customers!$C$2:$C$1001)=0,"",_xlfn.XLOOKUP(C36,Customers!$A$2:$A$1001,Customers!$C$2:$C$1001))</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_xlfn.XLOOKUP(Orders[[#This Row],[Customer ID]],Customers!$A$2:$A$1001,Customers!$I$2:$I$1001,0)</f>
        <v>Yes</v>
      </c>
    </row>
    <row r="37" spans="1:16" x14ac:dyDescent="0.3">
      <c r="A37" s="2" t="s">
        <v>687</v>
      </c>
      <c r="B37" s="3">
        <v>44348</v>
      </c>
      <c r="C37" s="2" t="s">
        <v>688</v>
      </c>
      <c r="D37" t="s">
        <v>6158</v>
      </c>
      <c r="E37" s="2">
        <v>6</v>
      </c>
      <c r="F37" s="2" t="str">
        <f>_xlfn.XLOOKUP(C37,Customers!$A$2:$A$1001,Customers!$B$2:$B$1001,0)</f>
        <v>Faber Eilhart</v>
      </c>
      <c r="G37" s="2" t="str">
        <f>IF(_xlfn.XLOOKUP(C37,Customers!$A$2:$A$1001,Customers!$C$2:$C$1001)=0,"",_xlfn.XLOOKUP(C37,Customers!$A$2:$A$1001,Customers!$C$2:$C$1001))</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_xlfn.XLOOKUP(Orders[[#This Row],[Customer ID]],Customers!$A$2:$A$1001,Customers!$I$2:$I$1001,0)</f>
        <v>No</v>
      </c>
    </row>
    <row r="38" spans="1:16" x14ac:dyDescent="0.3">
      <c r="A38" s="2" t="s">
        <v>693</v>
      </c>
      <c r="B38" s="3">
        <v>44233</v>
      </c>
      <c r="C38" s="2" t="s">
        <v>694</v>
      </c>
      <c r="D38" t="s">
        <v>6159</v>
      </c>
      <c r="E38" s="2">
        <v>2</v>
      </c>
      <c r="F38" s="2" t="str">
        <f>_xlfn.XLOOKUP(C38,Customers!$A$2:$A$1001,Customers!$B$2:$B$1001,0)</f>
        <v>Zorina Ponting</v>
      </c>
      <c r="G38" s="2" t="str">
        <f>IF(_xlfn.XLOOKUP(C38,Customers!$A$2:$A$1001,Customers!$C$2:$C$1001)=0,"",_xlfn.XLOOKUP(C38,Customers!$A$2:$A$1001,Customers!$C$2:$C$1001))</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_xlfn.XLOOKUP(Orders[[#This Row],[Customer ID]],Customers!$A$2:$A$1001,Customers!$I$2:$I$1001,0)</f>
        <v>No</v>
      </c>
    </row>
    <row r="39" spans="1:16" x14ac:dyDescent="0.3">
      <c r="A39" s="2" t="s">
        <v>699</v>
      </c>
      <c r="B39" s="3">
        <v>43580</v>
      </c>
      <c r="C39" s="2" t="s">
        <v>700</v>
      </c>
      <c r="D39" t="s">
        <v>6161</v>
      </c>
      <c r="E39" s="2">
        <v>3</v>
      </c>
      <c r="F39" s="2" t="str">
        <f>_xlfn.XLOOKUP(C39,Customers!$A$2:$A$1001,Customers!$B$2:$B$1001,0)</f>
        <v>Silvio Strase</v>
      </c>
      <c r="G39" s="2" t="str">
        <f>IF(_xlfn.XLOOKUP(C39,Customers!$A$2:$A$1001,Customers!$C$2:$C$1001)=0,"",_xlfn.XLOOKUP(C39,Customers!$A$2:$A$1001,Customers!$C$2:$C$1001))</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_xlfn.XLOOKUP(Orders[[#This Row],[Customer ID]],Customers!$A$2:$A$1001,Customers!$I$2:$I$1001,0)</f>
        <v>No</v>
      </c>
    </row>
    <row r="40" spans="1:16" x14ac:dyDescent="0.3">
      <c r="A40" s="2" t="s">
        <v>705</v>
      </c>
      <c r="B40" s="3">
        <v>43946</v>
      </c>
      <c r="C40" s="2" t="s">
        <v>706</v>
      </c>
      <c r="D40" t="s">
        <v>6151</v>
      </c>
      <c r="E40" s="2">
        <v>5</v>
      </c>
      <c r="F40" s="2" t="str">
        <f>_xlfn.XLOOKUP(C40,Customers!$A$2:$A$1001,Customers!$B$2:$B$1001,0)</f>
        <v>Dorie de la Tremoille</v>
      </c>
      <c r="G40" s="2" t="str">
        <f>IF(_xlfn.XLOOKUP(C40,Customers!$A$2:$A$1001,Customers!$C$2:$C$1001)=0,"",_xlfn.XLOOKUP(C40,Customers!$A$2:$A$1001,Customers!$C$2:$C$1001))</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_xlfn.XLOOKUP(Orders[[#This Row],[Customer ID]],Customers!$A$2:$A$1001,Customers!$I$2:$I$1001,0)</f>
        <v>No</v>
      </c>
    </row>
    <row r="41" spans="1:16" x14ac:dyDescent="0.3">
      <c r="A41" s="2" t="s">
        <v>711</v>
      </c>
      <c r="B41" s="3">
        <v>44524</v>
      </c>
      <c r="C41" s="2" t="s">
        <v>712</v>
      </c>
      <c r="D41" t="s">
        <v>6138</v>
      </c>
      <c r="E41" s="2">
        <v>6</v>
      </c>
      <c r="F41" s="2" t="str">
        <f>_xlfn.XLOOKUP(C41,Customers!$A$2:$A$1001,Customers!$B$2:$B$1001,0)</f>
        <v>Hy Zanetto</v>
      </c>
      <c r="G41" s="2" t="str">
        <f>IF(_xlfn.XLOOKUP(C41,Customers!$A$2:$A$1001,Customers!$C$2:$C$1001)=0,"",_xlfn.XLOOKUP(C41,Customers!$A$2:$A$1001,Customers!$C$2:$C$1001))</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_xlfn.XLOOKUP(Orders[[#This Row],[Customer ID]],Customers!$A$2:$A$1001,Customers!$I$2:$I$1001,0)</f>
        <v>Yes</v>
      </c>
    </row>
    <row r="42" spans="1:16" x14ac:dyDescent="0.3">
      <c r="A42" s="2" t="s">
        <v>715</v>
      </c>
      <c r="B42" s="3">
        <v>44305</v>
      </c>
      <c r="C42" s="2" t="s">
        <v>716</v>
      </c>
      <c r="D42" t="s">
        <v>6162</v>
      </c>
      <c r="E42" s="2">
        <v>3</v>
      </c>
      <c r="F42" s="2" t="str">
        <f>_xlfn.XLOOKUP(C42,Customers!$A$2:$A$1001,Customers!$B$2:$B$1001,0)</f>
        <v>Jessica McNess</v>
      </c>
      <c r="G42" s="2" t="str">
        <f>IF(_xlfn.XLOOKUP(C42,Customers!$A$2:$A$1001,Customers!$C$2:$C$1001)=0,"",_xlfn.XLOOKUP(C42,Customers!$A$2:$A$1001,Customers!$C$2:$C$1001))</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_xlfn.XLOOKUP(Orders[[#This Row],[Customer ID]],Customers!$A$2:$A$1001,Customers!$I$2:$I$1001,0)</f>
        <v>No</v>
      </c>
    </row>
    <row r="43" spans="1:16" x14ac:dyDescent="0.3">
      <c r="A43" s="2" t="s">
        <v>720</v>
      </c>
      <c r="B43" s="3">
        <v>44749</v>
      </c>
      <c r="C43" s="2" t="s">
        <v>721</v>
      </c>
      <c r="D43" t="s">
        <v>6153</v>
      </c>
      <c r="E43" s="2">
        <v>2</v>
      </c>
      <c r="F43" s="2" t="str">
        <f>_xlfn.XLOOKUP(C43,Customers!$A$2:$A$1001,Customers!$B$2:$B$1001,0)</f>
        <v>Lorenzo Yeoland</v>
      </c>
      <c r="G43" s="2" t="str">
        <f>IF(_xlfn.XLOOKUP(C43,Customers!$A$2:$A$1001,Customers!$C$2:$C$1001)=0,"",_xlfn.XLOOKUP(C43,Customers!$A$2:$A$1001,Customers!$C$2:$C$1001))</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_xlfn.XLOOKUP(Orders[[#This Row],[Customer ID]],Customers!$A$2:$A$1001,Customers!$I$2:$I$1001,0)</f>
        <v>Yes</v>
      </c>
    </row>
    <row r="44" spans="1:16" x14ac:dyDescent="0.3">
      <c r="A44" s="2" t="s">
        <v>726</v>
      </c>
      <c r="B44" s="3">
        <v>43607</v>
      </c>
      <c r="C44" s="2" t="s">
        <v>727</v>
      </c>
      <c r="D44" t="s">
        <v>6163</v>
      </c>
      <c r="E44" s="2">
        <v>3</v>
      </c>
      <c r="F44" s="2" t="str">
        <f>_xlfn.XLOOKUP(C44,Customers!$A$2:$A$1001,Customers!$B$2:$B$1001,0)</f>
        <v>Abigail Tolworthy</v>
      </c>
      <c r="G44" s="2" t="str">
        <f>IF(_xlfn.XLOOKUP(C44,Customers!$A$2:$A$1001,Customers!$C$2:$C$1001)=0,"",_xlfn.XLOOKUP(C44,Customers!$A$2:$A$1001,Customers!$C$2:$C$1001))</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_xlfn.XLOOKUP(Orders[[#This Row],[Customer ID]],Customers!$A$2:$A$1001,Customers!$I$2:$I$1001,0)</f>
        <v>Yes</v>
      </c>
    </row>
    <row r="45" spans="1:16" x14ac:dyDescent="0.3">
      <c r="A45" s="2" t="s">
        <v>733</v>
      </c>
      <c r="B45" s="3">
        <v>44473</v>
      </c>
      <c r="C45" s="2" t="s">
        <v>734</v>
      </c>
      <c r="D45" t="s">
        <v>6164</v>
      </c>
      <c r="E45" s="2">
        <v>2</v>
      </c>
      <c r="F45" s="2" t="str">
        <f>_xlfn.XLOOKUP(C45,Customers!$A$2:$A$1001,Customers!$B$2:$B$1001,0)</f>
        <v>Maurie Bartol</v>
      </c>
      <c r="G45" s="2" t="str">
        <f>IF(_xlfn.XLOOKUP(C45,Customers!$A$2:$A$1001,Customers!$C$2:$C$1001)=0,"",_xlfn.XLOOKUP(C45,Customers!$A$2:$A$1001,Customers!$C$2:$C$1001))</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_xlfn.XLOOKUP(Orders[[#This Row],[Customer ID]],Customers!$A$2:$A$1001,Customers!$I$2:$I$1001,0)</f>
        <v>No</v>
      </c>
    </row>
    <row r="46" spans="1:16" x14ac:dyDescent="0.3">
      <c r="A46" s="2" t="s">
        <v>738</v>
      </c>
      <c r="B46" s="3">
        <v>43932</v>
      </c>
      <c r="C46" s="2" t="s">
        <v>739</v>
      </c>
      <c r="D46" t="s">
        <v>6139</v>
      </c>
      <c r="E46" s="2">
        <v>2</v>
      </c>
      <c r="F46" s="2" t="str">
        <f>_xlfn.XLOOKUP(C46,Customers!$A$2:$A$1001,Customers!$B$2:$B$1001,0)</f>
        <v>Olag Baudassi</v>
      </c>
      <c r="G46" s="2" t="str">
        <f>IF(_xlfn.XLOOKUP(C46,Customers!$A$2:$A$1001,Customers!$C$2:$C$1001)=0,"",_xlfn.XLOOKUP(C46,Customers!$A$2:$A$1001,Customers!$C$2:$C$1001))</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_xlfn.XLOOKUP(Orders[[#This Row],[Customer ID]],Customers!$A$2:$A$1001,Customers!$I$2:$I$1001,0)</f>
        <v>Yes</v>
      </c>
    </row>
    <row r="47" spans="1:16" x14ac:dyDescent="0.3">
      <c r="A47" s="2" t="s">
        <v>744</v>
      </c>
      <c r="B47" s="3">
        <v>44592</v>
      </c>
      <c r="C47" s="2" t="s">
        <v>745</v>
      </c>
      <c r="D47" t="s">
        <v>6165</v>
      </c>
      <c r="E47" s="2">
        <v>6</v>
      </c>
      <c r="F47" s="2" t="str">
        <f>_xlfn.XLOOKUP(C47,Customers!$A$2:$A$1001,Customers!$B$2:$B$1001,0)</f>
        <v>Petey Kingsbury</v>
      </c>
      <c r="G47" s="2" t="str">
        <f>IF(_xlfn.XLOOKUP(C47,Customers!$A$2:$A$1001,Customers!$C$2:$C$1001)=0,"",_xlfn.XLOOKUP(C47,Customers!$A$2:$A$1001,Customers!$C$2:$C$1001))</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_xlfn.XLOOKUP(Orders[[#This Row],[Customer ID]],Customers!$A$2:$A$1001,Customers!$I$2:$I$1001,0)</f>
        <v>No</v>
      </c>
    </row>
    <row r="48" spans="1:16" x14ac:dyDescent="0.3">
      <c r="A48" s="2" t="s">
        <v>750</v>
      </c>
      <c r="B48" s="3">
        <v>43776</v>
      </c>
      <c r="C48" s="2" t="s">
        <v>751</v>
      </c>
      <c r="D48" t="s">
        <v>6166</v>
      </c>
      <c r="E48" s="2">
        <v>2</v>
      </c>
      <c r="F48" s="2" t="str">
        <f>_xlfn.XLOOKUP(C48,Customers!$A$2:$A$1001,Customers!$B$2:$B$1001,0)</f>
        <v>Donna Baskeyfied</v>
      </c>
      <c r="G48" s="2" t="str">
        <f>IF(_xlfn.XLOOKUP(C48,Customers!$A$2:$A$1001,Customers!$C$2:$C$1001)=0,"",_xlfn.XLOOKUP(C48,Customers!$A$2:$A$1001,Customers!$C$2:$C$1001))</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_xlfn.XLOOKUP(Orders[[#This Row],[Customer ID]],Customers!$A$2:$A$1001,Customers!$I$2:$I$1001,0)</f>
        <v>Yes</v>
      </c>
    </row>
    <row r="49" spans="1:16" x14ac:dyDescent="0.3">
      <c r="A49" s="2" t="s">
        <v>755</v>
      </c>
      <c r="B49" s="3">
        <v>43644</v>
      </c>
      <c r="C49" s="2" t="s">
        <v>756</v>
      </c>
      <c r="D49" t="s">
        <v>6167</v>
      </c>
      <c r="E49" s="2">
        <v>2</v>
      </c>
      <c r="F49" s="2" t="str">
        <f>_xlfn.XLOOKUP(C49,Customers!$A$2:$A$1001,Customers!$B$2:$B$1001,0)</f>
        <v>Arda Curley</v>
      </c>
      <c r="G49" s="2" t="str">
        <f>IF(_xlfn.XLOOKUP(C49,Customers!$A$2:$A$1001,Customers!$C$2:$C$1001)=0,"",_xlfn.XLOOKUP(C49,Customers!$A$2:$A$1001,Customers!$C$2:$C$1001))</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_xlfn.XLOOKUP(Orders[[#This Row],[Customer ID]],Customers!$A$2:$A$1001,Customers!$I$2:$I$1001,0)</f>
        <v>Yes</v>
      </c>
    </row>
    <row r="50" spans="1:16" x14ac:dyDescent="0.3">
      <c r="A50" s="2" t="s">
        <v>761</v>
      </c>
      <c r="B50" s="3">
        <v>44085</v>
      </c>
      <c r="C50" s="2" t="s">
        <v>762</v>
      </c>
      <c r="D50" t="s">
        <v>6168</v>
      </c>
      <c r="E50" s="2">
        <v>4</v>
      </c>
      <c r="F50" s="2" t="str">
        <f>_xlfn.XLOOKUP(C50,Customers!$A$2:$A$1001,Customers!$B$2:$B$1001,0)</f>
        <v>Raynor McGilvary</v>
      </c>
      <c r="G50" s="2" t="str">
        <f>IF(_xlfn.XLOOKUP(C50,Customers!$A$2:$A$1001,Customers!$C$2:$C$1001)=0,"",_xlfn.XLOOKUP(C50,Customers!$A$2:$A$1001,Customers!$C$2:$C$1001))</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_xlfn.XLOOKUP(Orders[[#This Row],[Customer ID]],Customers!$A$2:$A$1001,Customers!$I$2:$I$1001,0)</f>
        <v>No</v>
      </c>
    </row>
    <row r="51" spans="1:16" x14ac:dyDescent="0.3">
      <c r="A51" s="2" t="s">
        <v>766</v>
      </c>
      <c r="B51" s="3">
        <v>44790</v>
      </c>
      <c r="C51" s="2" t="s">
        <v>767</v>
      </c>
      <c r="D51" t="s">
        <v>6140</v>
      </c>
      <c r="E51" s="2">
        <v>3</v>
      </c>
      <c r="F51" s="2" t="str">
        <f>_xlfn.XLOOKUP(C51,Customers!$A$2:$A$1001,Customers!$B$2:$B$1001,0)</f>
        <v>Isis Pikett</v>
      </c>
      <c r="G51" s="2" t="str">
        <f>IF(_xlfn.XLOOKUP(C51,Customers!$A$2:$A$1001,Customers!$C$2:$C$1001)=0,"",_xlfn.XLOOKUP(C51,Customers!$A$2:$A$1001,Customers!$C$2:$C$1001))</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_xlfn.XLOOKUP(Orders[[#This Row],[Customer ID]],Customers!$A$2:$A$1001,Customers!$I$2:$I$1001,0)</f>
        <v>No</v>
      </c>
    </row>
    <row r="52" spans="1:16" x14ac:dyDescent="0.3">
      <c r="A52" s="2" t="s">
        <v>772</v>
      </c>
      <c r="B52" s="3">
        <v>44792</v>
      </c>
      <c r="C52" s="2" t="s">
        <v>773</v>
      </c>
      <c r="D52" t="s">
        <v>6169</v>
      </c>
      <c r="E52" s="2">
        <v>2</v>
      </c>
      <c r="F52" s="2" t="str">
        <f>_xlfn.XLOOKUP(C52,Customers!$A$2:$A$1001,Customers!$B$2:$B$1001,0)</f>
        <v>Inger Bouldon</v>
      </c>
      <c r="G52" s="2" t="str">
        <f>IF(_xlfn.XLOOKUP(C52,Customers!$A$2:$A$1001,Customers!$C$2:$C$1001)=0,"",_xlfn.XLOOKUP(C52,Customers!$A$2:$A$1001,Customers!$C$2:$C$1001))</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_xlfn.XLOOKUP(Orders[[#This Row],[Customer ID]],Customers!$A$2:$A$1001,Customers!$I$2:$I$1001,0)</f>
        <v>No</v>
      </c>
    </row>
    <row r="53" spans="1:16" x14ac:dyDescent="0.3">
      <c r="A53" s="2" t="s">
        <v>778</v>
      </c>
      <c r="B53" s="3">
        <v>43600</v>
      </c>
      <c r="C53" s="2" t="s">
        <v>779</v>
      </c>
      <c r="D53" t="s">
        <v>6164</v>
      </c>
      <c r="E53" s="2">
        <v>4</v>
      </c>
      <c r="F53" s="2" t="str">
        <f>_xlfn.XLOOKUP(C53,Customers!$A$2:$A$1001,Customers!$B$2:$B$1001,0)</f>
        <v>Karry Flanders</v>
      </c>
      <c r="G53" s="2" t="str">
        <f>IF(_xlfn.XLOOKUP(C53,Customers!$A$2:$A$1001,Customers!$C$2:$C$1001)=0,"",_xlfn.XLOOKUP(C53,Customers!$A$2:$A$1001,Customers!$C$2:$C$1001))</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_xlfn.XLOOKUP(Orders[[#This Row],[Customer ID]],Customers!$A$2:$A$1001,Customers!$I$2:$I$1001,0)</f>
        <v>Yes</v>
      </c>
    </row>
    <row r="54" spans="1:16" x14ac:dyDescent="0.3">
      <c r="A54" s="2" t="s">
        <v>784</v>
      </c>
      <c r="B54" s="3">
        <v>43719</v>
      </c>
      <c r="C54" s="2" t="s">
        <v>785</v>
      </c>
      <c r="D54" t="s">
        <v>6146</v>
      </c>
      <c r="E54" s="2">
        <v>5</v>
      </c>
      <c r="F54" s="2" t="str">
        <f>_xlfn.XLOOKUP(C54,Customers!$A$2:$A$1001,Customers!$B$2:$B$1001,0)</f>
        <v>Hartley Mattioli</v>
      </c>
      <c r="G54" s="2" t="str">
        <f>IF(_xlfn.XLOOKUP(C54,Customers!$A$2:$A$1001,Customers!$C$2:$C$1001)=0,"",_xlfn.XLOOKUP(C54,Customers!$A$2:$A$1001,Customers!$C$2:$C$1001))</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_xlfn.XLOOKUP(Orders[[#This Row],[Customer ID]],Customers!$A$2:$A$1001,Customers!$I$2:$I$1001,0)</f>
        <v>No</v>
      </c>
    </row>
    <row r="55" spans="1:16" x14ac:dyDescent="0.3">
      <c r="A55" s="2" t="s">
        <v>784</v>
      </c>
      <c r="B55" s="3">
        <v>43719</v>
      </c>
      <c r="C55" s="2" t="s">
        <v>785</v>
      </c>
      <c r="D55" t="s">
        <v>6164</v>
      </c>
      <c r="E55" s="2">
        <v>2</v>
      </c>
      <c r="F55" s="2" t="str">
        <f>_xlfn.XLOOKUP(C55,Customers!$A$2:$A$1001,Customers!$B$2:$B$1001,0)</f>
        <v>Hartley Mattioli</v>
      </c>
      <c r="G55" s="2" t="str">
        <f>IF(_xlfn.XLOOKUP(C55,Customers!$A$2:$A$1001,Customers!$C$2:$C$1001)=0,"",_xlfn.XLOOKUP(C55,Customers!$A$2:$A$1001,Customers!$C$2:$C$1001))</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_xlfn.XLOOKUP(Orders[[#This Row],[Customer ID]],Customers!$A$2:$A$1001,Customers!$I$2:$I$1001,0)</f>
        <v>No</v>
      </c>
    </row>
    <row r="56" spans="1:16" x14ac:dyDescent="0.3">
      <c r="A56" s="2" t="s">
        <v>794</v>
      </c>
      <c r="B56" s="3">
        <v>44271</v>
      </c>
      <c r="C56" s="2" t="s">
        <v>795</v>
      </c>
      <c r="D56" t="s">
        <v>6162</v>
      </c>
      <c r="E56" s="2">
        <v>5</v>
      </c>
      <c r="F56" s="2" t="str">
        <f>_xlfn.XLOOKUP(C56,Customers!$A$2:$A$1001,Customers!$B$2:$B$1001,0)</f>
        <v>Archambault Gillard</v>
      </c>
      <c r="G56" s="2" t="str">
        <f>IF(_xlfn.XLOOKUP(C56,Customers!$A$2:$A$1001,Customers!$C$2:$C$1001)=0,"",_xlfn.XLOOKUP(C56,Customers!$A$2:$A$1001,Customers!$C$2:$C$1001))</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_xlfn.XLOOKUP(Orders[[#This Row],[Customer ID]],Customers!$A$2:$A$1001,Customers!$I$2:$I$1001,0)</f>
        <v>No</v>
      </c>
    </row>
    <row r="57" spans="1:16" x14ac:dyDescent="0.3">
      <c r="A57" s="2" t="s">
        <v>800</v>
      </c>
      <c r="B57" s="3">
        <v>44168</v>
      </c>
      <c r="C57" s="2" t="s">
        <v>801</v>
      </c>
      <c r="D57" t="s">
        <v>6170</v>
      </c>
      <c r="E57" s="2">
        <v>3</v>
      </c>
      <c r="F57" s="2" t="str">
        <f>_xlfn.XLOOKUP(C57,Customers!$A$2:$A$1001,Customers!$B$2:$B$1001,0)</f>
        <v>Salomo Cushworth</v>
      </c>
      <c r="G57" s="2" t="str">
        <f>IF(_xlfn.XLOOKUP(C57,Customers!$A$2:$A$1001,Customers!$C$2:$C$1001)=0,"",_xlfn.XLOOKUP(C57,Customers!$A$2:$A$1001,Customers!$C$2:$C$1001))</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_xlfn.XLOOKUP(Orders[[#This Row],[Customer ID]],Customers!$A$2:$A$1001,Customers!$I$2:$I$1001,0)</f>
        <v>No</v>
      </c>
    </row>
    <row r="58" spans="1:16" x14ac:dyDescent="0.3">
      <c r="A58" s="2" t="s">
        <v>805</v>
      </c>
      <c r="B58" s="3">
        <v>43857</v>
      </c>
      <c r="C58" s="2" t="s">
        <v>806</v>
      </c>
      <c r="D58" t="s">
        <v>6153</v>
      </c>
      <c r="E58" s="2">
        <v>3</v>
      </c>
      <c r="F58" s="2" t="str">
        <f>_xlfn.XLOOKUP(C58,Customers!$A$2:$A$1001,Customers!$B$2:$B$1001,0)</f>
        <v>Theda Grizard</v>
      </c>
      <c r="G58" s="2" t="str">
        <f>IF(_xlfn.XLOOKUP(C58,Customers!$A$2:$A$1001,Customers!$C$2:$C$1001)=0,"",_xlfn.XLOOKUP(C58,Customers!$A$2:$A$1001,Customers!$C$2:$C$1001))</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_xlfn.XLOOKUP(Orders[[#This Row],[Customer ID]],Customers!$A$2:$A$1001,Customers!$I$2:$I$1001,0)</f>
        <v>Yes</v>
      </c>
    </row>
    <row r="59" spans="1:16" x14ac:dyDescent="0.3">
      <c r="A59" s="2" t="s">
        <v>811</v>
      </c>
      <c r="B59" s="3">
        <v>44759</v>
      </c>
      <c r="C59" s="2" t="s">
        <v>812</v>
      </c>
      <c r="D59" t="s">
        <v>6171</v>
      </c>
      <c r="E59" s="2">
        <v>4</v>
      </c>
      <c r="F59" s="2" t="str">
        <f>_xlfn.XLOOKUP(C59,Customers!$A$2:$A$1001,Customers!$B$2:$B$1001,0)</f>
        <v>Rozele Relton</v>
      </c>
      <c r="G59" s="2" t="str">
        <f>IF(_xlfn.XLOOKUP(C59,Customers!$A$2:$A$1001,Customers!$C$2:$C$1001)=0,"",_xlfn.XLOOKUP(C59,Customers!$A$2:$A$1001,Customers!$C$2:$C$1001))</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_xlfn.XLOOKUP(Orders[[#This Row],[Customer ID]],Customers!$A$2:$A$1001,Customers!$I$2:$I$1001,0)</f>
        <v>No</v>
      </c>
    </row>
    <row r="60" spans="1:16" x14ac:dyDescent="0.3">
      <c r="A60" s="2" t="s">
        <v>817</v>
      </c>
      <c r="B60" s="3">
        <v>44624</v>
      </c>
      <c r="C60" s="2" t="s">
        <v>818</v>
      </c>
      <c r="D60" t="s">
        <v>6165</v>
      </c>
      <c r="E60" s="2">
        <v>3</v>
      </c>
      <c r="F60" s="2" t="str">
        <f>_xlfn.XLOOKUP(C60,Customers!$A$2:$A$1001,Customers!$B$2:$B$1001,0)</f>
        <v>Willa Rolling</v>
      </c>
      <c r="G60" s="2" t="str">
        <f>IF(_xlfn.XLOOKUP(C60,Customers!$A$2:$A$1001,Customers!$C$2:$C$1001)=0,"",_xlfn.XLOOKUP(C60,Customers!$A$2:$A$1001,Customers!$C$2:$C$1001))</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_xlfn.XLOOKUP(Orders[[#This Row],[Customer ID]],Customers!$A$2:$A$1001,Customers!$I$2:$I$1001,0)</f>
        <v>Yes</v>
      </c>
    </row>
    <row r="61" spans="1:16" x14ac:dyDescent="0.3">
      <c r="A61" s="2" t="s">
        <v>822</v>
      </c>
      <c r="B61" s="3">
        <v>44537</v>
      </c>
      <c r="C61" s="2" t="s">
        <v>823</v>
      </c>
      <c r="D61" t="s">
        <v>6160</v>
      </c>
      <c r="E61" s="2">
        <v>3</v>
      </c>
      <c r="F61" s="2" t="str">
        <f>_xlfn.XLOOKUP(C61,Customers!$A$2:$A$1001,Customers!$B$2:$B$1001,0)</f>
        <v>Stanislaus Gilroy</v>
      </c>
      <c r="G61" s="2" t="str">
        <f>IF(_xlfn.XLOOKUP(C61,Customers!$A$2:$A$1001,Customers!$C$2:$C$1001)=0,"",_xlfn.XLOOKUP(C61,Customers!$A$2:$A$1001,Customers!$C$2:$C$1001))</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_xlfn.XLOOKUP(Orders[[#This Row],[Customer ID]],Customers!$A$2:$A$1001,Customers!$I$2:$I$1001,0)</f>
        <v>Yes</v>
      </c>
    </row>
    <row r="62" spans="1:16" x14ac:dyDescent="0.3">
      <c r="A62" s="2" t="s">
        <v>827</v>
      </c>
      <c r="B62" s="3">
        <v>44252</v>
      </c>
      <c r="C62" s="2" t="s">
        <v>828</v>
      </c>
      <c r="D62" t="s">
        <v>6168</v>
      </c>
      <c r="E62" s="2">
        <v>5</v>
      </c>
      <c r="F62" s="2" t="str">
        <f>_xlfn.XLOOKUP(C62,Customers!$A$2:$A$1001,Customers!$B$2:$B$1001,0)</f>
        <v>Correy Cottingham</v>
      </c>
      <c r="G62" s="2" t="str">
        <f>IF(_xlfn.XLOOKUP(C62,Customers!$A$2:$A$1001,Customers!$C$2:$C$1001)=0,"",_xlfn.XLOOKUP(C62,Customers!$A$2:$A$1001,Customers!$C$2:$C$1001))</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_xlfn.XLOOKUP(Orders[[#This Row],[Customer ID]],Customers!$A$2:$A$1001,Customers!$I$2:$I$1001,0)</f>
        <v>No</v>
      </c>
    </row>
    <row r="63" spans="1:16" x14ac:dyDescent="0.3">
      <c r="A63" s="2" t="s">
        <v>833</v>
      </c>
      <c r="B63" s="3">
        <v>43521</v>
      </c>
      <c r="C63" s="2" t="s">
        <v>834</v>
      </c>
      <c r="D63" t="s">
        <v>6172</v>
      </c>
      <c r="E63" s="2">
        <v>5</v>
      </c>
      <c r="F63" s="2" t="str">
        <f>_xlfn.XLOOKUP(C63,Customers!$A$2:$A$1001,Customers!$B$2:$B$1001,0)</f>
        <v>Pammi Endacott</v>
      </c>
      <c r="G63" s="2" t="str">
        <f>IF(_xlfn.XLOOKUP(C63,Customers!$A$2:$A$1001,Customers!$C$2:$C$1001)=0,"",_xlfn.XLOOKUP(C63,Customers!$A$2:$A$1001,Customers!$C$2:$C$1001))</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_xlfn.XLOOKUP(Orders[[#This Row],[Customer ID]],Customers!$A$2:$A$1001,Customers!$I$2:$I$1001,0)</f>
        <v>Yes</v>
      </c>
    </row>
    <row r="64" spans="1:16" x14ac:dyDescent="0.3">
      <c r="A64" s="2" t="s">
        <v>838</v>
      </c>
      <c r="B64" s="3">
        <v>43505</v>
      </c>
      <c r="C64" s="2" t="s">
        <v>839</v>
      </c>
      <c r="D64" t="s">
        <v>6145</v>
      </c>
      <c r="E64" s="2">
        <v>5</v>
      </c>
      <c r="F64" s="2" t="str">
        <f>_xlfn.XLOOKUP(C64,Customers!$A$2:$A$1001,Customers!$B$2:$B$1001,0)</f>
        <v>Nona Linklater</v>
      </c>
      <c r="G64" s="2" t="str">
        <f>IF(_xlfn.XLOOKUP(C64,Customers!$A$2:$A$1001,Customers!$C$2:$C$1001)=0,"",_xlfn.XLOOKUP(C64,Customers!$A$2:$A$1001,Customers!$C$2:$C$1001))</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_xlfn.XLOOKUP(Orders[[#This Row],[Customer ID]],Customers!$A$2:$A$1001,Customers!$I$2:$I$1001,0)</f>
        <v>Yes</v>
      </c>
    </row>
    <row r="65" spans="1:16" x14ac:dyDescent="0.3">
      <c r="A65" s="2" t="s">
        <v>843</v>
      </c>
      <c r="B65" s="3">
        <v>43868</v>
      </c>
      <c r="C65" s="2" t="s">
        <v>844</v>
      </c>
      <c r="D65" t="s">
        <v>6157</v>
      </c>
      <c r="E65" s="2">
        <v>1</v>
      </c>
      <c r="F65" s="2" t="str">
        <f>_xlfn.XLOOKUP(C65,Customers!$A$2:$A$1001,Customers!$B$2:$B$1001,0)</f>
        <v>Annadiane Dykes</v>
      </c>
      <c r="G65" s="2" t="str">
        <f>IF(_xlfn.XLOOKUP(C65,Customers!$A$2:$A$1001,Customers!$C$2:$C$1001)=0,"",_xlfn.XLOOKUP(C65,Customers!$A$2:$A$1001,Customers!$C$2:$C$1001))</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_xlfn.XLOOKUP(Orders[[#This Row],[Customer ID]],Customers!$A$2:$A$1001,Customers!$I$2:$I$1001,0)</f>
        <v>No</v>
      </c>
    </row>
    <row r="66" spans="1:16" x14ac:dyDescent="0.3">
      <c r="A66" s="2" t="s">
        <v>849</v>
      </c>
      <c r="B66" s="3">
        <v>43913</v>
      </c>
      <c r="C66" s="2" t="s">
        <v>850</v>
      </c>
      <c r="D66" t="s">
        <v>6146</v>
      </c>
      <c r="E66" s="2">
        <v>6</v>
      </c>
      <c r="F66" s="2" t="str">
        <f>_xlfn.XLOOKUP(C66,Customers!$A$2:$A$1001,Customers!$B$2:$B$1001,0)</f>
        <v>Felecia Dodgson</v>
      </c>
      <c r="G66" s="2" t="str">
        <f>IF(_xlfn.XLOOKUP(C66,Customers!$A$2:$A$1001,Customers!$C$2:$C$1001)=0,"",_xlfn.XLOOKUP(C66,Customers!$A$2:$A$1001,Customers!$C$2:$C$1001))</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ref="M66:M129" si="3">L66*E66</f>
        <v>35.82</v>
      </c>
      <c r="N66" t="str">
        <f t="shared" ref="N66:N129" si="4">IF(I66="Rob","Robusta",IF(I66="Exc","Excelsa",IF(I66="Ara","Arabica",IF(I66="Lib","Liberica",""))))</f>
        <v>Robusta</v>
      </c>
      <c r="O66" t="str">
        <f t="shared" ref="O66:O129" si="5">IF(J66="M","Medium",IF(J66="L","Light",IF(J66="D","Dark","")))</f>
        <v>Medium</v>
      </c>
      <c r="P66" t="str">
        <f>_xlfn.XLOOKUP(Orders[[#This Row],[Customer ID]],Customers!$A$2:$A$1001,Customers!$I$2:$I$1001,0)</f>
        <v>Yes</v>
      </c>
    </row>
    <row r="67" spans="1:16" x14ac:dyDescent="0.3">
      <c r="A67" s="2" t="s">
        <v>854</v>
      </c>
      <c r="B67" s="3">
        <v>44626</v>
      </c>
      <c r="C67" s="2" t="s">
        <v>855</v>
      </c>
      <c r="D67" t="s">
        <v>6149</v>
      </c>
      <c r="E67" s="2">
        <v>4</v>
      </c>
      <c r="F67" s="2" t="str">
        <f>_xlfn.XLOOKUP(C67,Customers!$A$2:$A$1001,Customers!$B$2:$B$1001,0)</f>
        <v>Angelia Cockrem</v>
      </c>
      <c r="G67" s="2" t="str">
        <f>IF(_xlfn.XLOOKUP(C67,Customers!$A$2:$A$1001,Customers!$C$2:$C$1001)=0,"",_xlfn.XLOOKUP(C67,Customers!$A$2:$A$1001,Customers!$C$2:$C$1001))</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si="3"/>
        <v>82.339999999999989</v>
      </c>
      <c r="N67" t="str">
        <f t="shared" si="4"/>
        <v>Robusta</v>
      </c>
      <c r="O67" t="str">
        <f t="shared" si="5"/>
        <v>Dark</v>
      </c>
      <c r="P67" t="str">
        <f>_xlfn.XLOOKUP(Orders[[#This Row],[Customer ID]],Customers!$A$2:$A$1001,Customers!$I$2:$I$1001,0)</f>
        <v>Yes</v>
      </c>
    </row>
    <row r="68" spans="1:16" x14ac:dyDescent="0.3">
      <c r="A68" s="2" t="s">
        <v>860</v>
      </c>
      <c r="B68" s="3">
        <v>44666</v>
      </c>
      <c r="C68" s="2" t="s">
        <v>861</v>
      </c>
      <c r="D68" t="s">
        <v>6173</v>
      </c>
      <c r="E68" s="2">
        <v>1</v>
      </c>
      <c r="F68" s="2" t="str">
        <f>_xlfn.XLOOKUP(C68,Customers!$A$2:$A$1001,Customers!$B$2:$B$1001,0)</f>
        <v>Belvia Umpleby</v>
      </c>
      <c r="G68" s="2" t="str">
        <f>IF(_xlfn.XLOOKUP(C68,Customers!$A$2:$A$1001,Customers!$C$2:$C$1001)=0,"",_xlfn.XLOOKUP(C68,Customers!$A$2:$A$1001,Customers!$C$2:$C$1001))</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_xlfn.XLOOKUP(Orders[[#This Row],[Customer ID]],Customers!$A$2:$A$1001,Customers!$I$2:$I$1001,0)</f>
        <v>Yes</v>
      </c>
    </row>
    <row r="69" spans="1:16" x14ac:dyDescent="0.3">
      <c r="A69" s="2" t="s">
        <v>866</v>
      </c>
      <c r="B69" s="3">
        <v>44519</v>
      </c>
      <c r="C69" s="2" t="s">
        <v>867</v>
      </c>
      <c r="D69" t="s">
        <v>6145</v>
      </c>
      <c r="E69" s="2">
        <v>2</v>
      </c>
      <c r="F69" s="2" t="str">
        <f>_xlfn.XLOOKUP(C69,Customers!$A$2:$A$1001,Customers!$B$2:$B$1001,0)</f>
        <v>Nat Saleway</v>
      </c>
      <c r="G69" s="2" t="str">
        <f>IF(_xlfn.XLOOKUP(C69,Customers!$A$2:$A$1001,Customers!$C$2:$C$1001)=0,"",_xlfn.XLOOKUP(C69,Customers!$A$2:$A$1001,Customers!$C$2:$C$1001))</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_xlfn.XLOOKUP(Orders[[#This Row],[Customer ID]],Customers!$A$2:$A$1001,Customers!$I$2:$I$1001,0)</f>
        <v>No</v>
      </c>
    </row>
    <row r="70" spans="1:16" x14ac:dyDescent="0.3">
      <c r="A70" s="2" t="s">
        <v>872</v>
      </c>
      <c r="B70" s="3">
        <v>43754</v>
      </c>
      <c r="C70" s="2" t="s">
        <v>873</v>
      </c>
      <c r="D70" t="s">
        <v>6174</v>
      </c>
      <c r="E70" s="2">
        <v>1</v>
      </c>
      <c r="F70" s="2" t="str">
        <f>_xlfn.XLOOKUP(C70,Customers!$A$2:$A$1001,Customers!$B$2:$B$1001,0)</f>
        <v>Hayward Goulter</v>
      </c>
      <c r="G70" s="2" t="str">
        <f>IF(_xlfn.XLOOKUP(C70,Customers!$A$2:$A$1001,Customers!$C$2:$C$1001)=0,"",_xlfn.XLOOKUP(C70,Customers!$A$2:$A$1001,Customers!$C$2:$C$1001))</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_xlfn.XLOOKUP(Orders[[#This Row],[Customer ID]],Customers!$A$2:$A$1001,Customers!$I$2:$I$1001,0)</f>
        <v>No</v>
      </c>
    </row>
    <row r="71" spans="1:16" x14ac:dyDescent="0.3">
      <c r="A71" s="2" t="s">
        <v>878</v>
      </c>
      <c r="B71" s="3">
        <v>43795</v>
      </c>
      <c r="C71" s="2" t="s">
        <v>879</v>
      </c>
      <c r="D71" t="s">
        <v>6138</v>
      </c>
      <c r="E71" s="2">
        <v>6</v>
      </c>
      <c r="F71" s="2" t="str">
        <f>_xlfn.XLOOKUP(C71,Customers!$A$2:$A$1001,Customers!$B$2:$B$1001,0)</f>
        <v>Gay Rizzello</v>
      </c>
      <c r="G71" s="2" t="str">
        <f>IF(_xlfn.XLOOKUP(C71,Customers!$A$2:$A$1001,Customers!$C$2:$C$1001)=0,"",_xlfn.XLOOKUP(C71,Customers!$A$2:$A$1001,Customers!$C$2:$C$1001))</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_xlfn.XLOOKUP(Orders[[#This Row],[Customer ID]],Customers!$A$2:$A$1001,Customers!$I$2:$I$1001,0)</f>
        <v>Yes</v>
      </c>
    </row>
    <row r="72" spans="1:16" x14ac:dyDescent="0.3">
      <c r="A72" s="2" t="s">
        <v>885</v>
      </c>
      <c r="B72" s="3">
        <v>43646</v>
      </c>
      <c r="C72" s="2" t="s">
        <v>886</v>
      </c>
      <c r="D72" t="s">
        <v>6148</v>
      </c>
      <c r="E72" s="2">
        <v>4</v>
      </c>
      <c r="F72" s="2" t="str">
        <f>_xlfn.XLOOKUP(C72,Customers!$A$2:$A$1001,Customers!$B$2:$B$1001,0)</f>
        <v>Shannon List</v>
      </c>
      <c r="G72" s="2" t="str">
        <f>IF(_xlfn.XLOOKUP(C72,Customers!$A$2:$A$1001,Customers!$C$2:$C$1001)=0,"",_xlfn.XLOOKUP(C72,Customers!$A$2:$A$1001,Customers!$C$2:$C$1001))</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_xlfn.XLOOKUP(Orders[[#This Row],[Customer ID]],Customers!$A$2:$A$1001,Customers!$I$2:$I$1001,0)</f>
        <v>No</v>
      </c>
    </row>
    <row r="73" spans="1:16" x14ac:dyDescent="0.3">
      <c r="A73" s="2" t="s">
        <v>891</v>
      </c>
      <c r="B73" s="3">
        <v>44200</v>
      </c>
      <c r="C73" s="2" t="s">
        <v>892</v>
      </c>
      <c r="D73" t="s">
        <v>6145</v>
      </c>
      <c r="E73" s="2">
        <v>2</v>
      </c>
      <c r="F73" s="2" t="str">
        <f>_xlfn.XLOOKUP(C73,Customers!$A$2:$A$1001,Customers!$B$2:$B$1001,0)</f>
        <v>Shirlene Edmondson</v>
      </c>
      <c r="G73" s="2" t="str">
        <f>IF(_xlfn.XLOOKUP(C73,Customers!$A$2:$A$1001,Customers!$C$2:$C$1001)=0,"",_xlfn.XLOOKUP(C73,Customers!$A$2:$A$1001,Customers!$C$2:$C$1001))</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_xlfn.XLOOKUP(Orders[[#This Row],[Customer ID]],Customers!$A$2:$A$1001,Customers!$I$2:$I$1001,0)</f>
        <v>No</v>
      </c>
    </row>
    <row r="74" spans="1:16" x14ac:dyDescent="0.3">
      <c r="A74" s="2" t="s">
        <v>897</v>
      </c>
      <c r="B74" s="3">
        <v>44131</v>
      </c>
      <c r="C74" s="2" t="s">
        <v>898</v>
      </c>
      <c r="D74" t="s">
        <v>6175</v>
      </c>
      <c r="E74" s="2">
        <v>3</v>
      </c>
      <c r="F74" s="2" t="str">
        <f>_xlfn.XLOOKUP(C74,Customers!$A$2:$A$1001,Customers!$B$2:$B$1001,0)</f>
        <v>Aurlie McCarl</v>
      </c>
      <c r="G74" s="2" t="str">
        <f>IF(_xlfn.XLOOKUP(C74,Customers!$A$2:$A$1001,Customers!$C$2:$C$1001)=0,"",_xlfn.XLOOKUP(C74,Customers!$A$2:$A$1001,Customers!$C$2:$C$1001))</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_xlfn.XLOOKUP(Orders[[#This Row],[Customer ID]],Customers!$A$2:$A$1001,Customers!$I$2:$I$1001,0)</f>
        <v>No</v>
      </c>
    </row>
    <row r="75" spans="1:16" x14ac:dyDescent="0.3">
      <c r="A75" s="2" t="s">
        <v>902</v>
      </c>
      <c r="B75" s="3">
        <v>44362</v>
      </c>
      <c r="C75" s="2" t="s">
        <v>903</v>
      </c>
      <c r="D75" t="s">
        <v>6159</v>
      </c>
      <c r="E75" s="2">
        <v>5</v>
      </c>
      <c r="F75" s="2" t="str">
        <f>_xlfn.XLOOKUP(C75,Customers!$A$2:$A$1001,Customers!$B$2:$B$1001,0)</f>
        <v>Alikee Carryer</v>
      </c>
      <c r="G75" s="2" t="str">
        <f>IF(_xlfn.XLOOKUP(C75,Customers!$A$2:$A$1001,Customers!$C$2:$C$1001)=0,"",_xlfn.XLOOKUP(C75,Customers!$A$2:$A$1001,Customers!$C$2:$C$1001))</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_xlfn.XLOOKUP(Orders[[#This Row],[Customer ID]],Customers!$A$2:$A$1001,Customers!$I$2:$I$1001,0)</f>
        <v>Yes</v>
      </c>
    </row>
    <row r="76" spans="1:16" x14ac:dyDescent="0.3">
      <c r="A76" s="2" t="s">
        <v>907</v>
      </c>
      <c r="B76" s="3">
        <v>44396</v>
      </c>
      <c r="C76" s="2" t="s">
        <v>908</v>
      </c>
      <c r="D76" t="s">
        <v>6176</v>
      </c>
      <c r="E76" s="2">
        <v>2</v>
      </c>
      <c r="F76" s="2" t="str">
        <f>_xlfn.XLOOKUP(C76,Customers!$A$2:$A$1001,Customers!$B$2:$B$1001,0)</f>
        <v>Jennifer Rangall</v>
      </c>
      <c r="G76" s="2" t="str">
        <f>IF(_xlfn.XLOOKUP(C76,Customers!$A$2:$A$1001,Customers!$C$2:$C$1001)=0,"",_xlfn.XLOOKUP(C76,Customers!$A$2:$A$1001,Customers!$C$2:$C$1001))</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_xlfn.XLOOKUP(Orders[[#This Row],[Customer ID]],Customers!$A$2:$A$1001,Customers!$I$2:$I$1001,0)</f>
        <v>Yes</v>
      </c>
    </row>
    <row r="77" spans="1:16" x14ac:dyDescent="0.3">
      <c r="A77" s="2" t="s">
        <v>913</v>
      </c>
      <c r="B77" s="3">
        <v>44400</v>
      </c>
      <c r="C77" s="2" t="s">
        <v>914</v>
      </c>
      <c r="D77" t="s">
        <v>6177</v>
      </c>
      <c r="E77" s="2">
        <v>6</v>
      </c>
      <c r="F77" s="2" t="str">
        <f>_xlfn.XLOOKUP(C77,Customers!$A$2:$A$1001,Customers!$B$2:$B$1001,0)</f>
        <v>Kipper Boorn</v>
      </c>
      <c r="G77" s="2" t="str">
        <f>IF(_xlfn.XLOOKUP(C77,Customers!$A$2:$A$1001,Customers!$C$2:$C$1001)=0,"",_xlfn.XLOOKUP(C77,Customers!$A$2:$A$1001,Customers!$C$2:$C$1001))</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_xlfn.XLOOKUP(Orders[[#This Row],[Customer ID]],Customers!$A$2:$A$1001,Customers!$I$2:$I$1001,0)</f>
        <v>Yes</v>
      </c>
    </row>
    <row r="78" spans="1:16" x14ac:dyDescent="0.3">
      <c r="A78" s="2" t="s">
        <v>919</v>
      </c>
      <c r="B78" s="3">
        <v>43855</v>
      </c>
      <c r="C78" s="2" t="s">
        <v>920</v>
      </c>
      <c r="D78" t="s">
        <v>6178</v>
      </c>
      <c r="E78" s="2">
        <v>1</v>
      </c>
      <c r="F78" s="2" t="str">
        <f>_xlfn.XLOOKUP(C78,Customers!$A$2:$A$1001,Customers!$B$2:$B$1001,0)</f>
        <v>Melania Beadle</v>
      </c>
      <c r="G78" s="2" t="str">
        <f>IF(_xlfn.XLOOKUP(C78,Customers!$A$2:$A$1001,Customers!$C$2:$C$1001)=0,"",_xlfn.XLOOKUP(C78,Customers!$A$2:$A$1001,Customers!$C$2:$C$1001))</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_xlfn.XLOOKUP(Orders[[#This Row],[Customer ID]],Customers!$A$2:$A$1001,Customers!$I$2:$I$1001,0)</f>
        <v>Yes</v>
      </c>
    </row>
    <row r="79" spans="1:16" x14ac:dyDescent="0.3">
      <c r="A79" s="2" t="s">
        <v>924</v>
      </c>
      <c r="B79" s="3">
        <v>43594</v>
      </c>
      <c r="C79" s="2" t="s">
        <v>925</v>
      </c>
      <c r="D79" t="s">
        <v>6153</v>
      </c>
      <c r="E79" s="2">
        <v>2</v>
      </c>
      <c r="F79" s="2" t="str">
        <f>_xlfn.XLOOKUP(C79,Customers!$A$2:$A$1001,Customers!$B$2:$B$1001,0)</f>
        <v>Colene Elgey</v>
      </c>
      <c r="G79" s="2" t="str">
        <f>IF(_xlfn.XLOOKUP(C79,Customers!$A$2:$A$1001,Customers!$C$2:$C$1001)=0,"",_xlfn.XLOOKUP(C79,Customers!$A$2:$A$1001,Customers!$C$2:$C$1001))</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_xlfn.XLOOKUP(Orders[[#This Row],[Customer ID]],Customers!$A$2:$A$1001,Customers!$I$2:$I$1001,0)</f>
        <v>No</v>
      </c>
    </row>
    <row r="80" spans="1:16" x14ac:dyDescent="0.3">
      <c r="A80" s="2" t="s">
        <v>930</v>
      </c>
      <c r="B80" s="3">
        <v>43920</v>
      </c>
      <c r="C80" s="2" t="s">
        <v>931</v>
      </c>
      <c r="D80" t="s">
        <v>6157</v>
      </c>
      <c r="E80" s="2">
        <v>6</v>
      </c>
      <c r="F80" s="2" t="str">
        <f>_xlfn.XLOOKUP(C80,Customers!$A$2:$A$1001,Customers!$B$2:$B$1001,0)</f>
        <v>Lothaire Mizzi</v>
      </c>
      <c r="G80" s="2" t="str">
        <f>IF(_xlfn.XLOOKUP(C80,Customers!$A$2:$A$1001,Customers!$C$2:$C$1001)=0,"",_xlfn.XLOOKUP(C80,Customers!$A$2:$A$1001,Customers!$C$2:$C$1001))</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_xlfn.XLOOKUP(Orders[[#This Row],[Customer ID]],Customers!$A$2:$A$1001,Customers!$I$2:$I$1001,0)</f>
        <v>Yes</v>
      </c>
    </row>
    <row r="81" spans="1:16" x14ac:dyDescent="0.3">
      <c r="A81" s="2" t="s">
        <v>936</v>
      </c>
      <c r="B81" s="3">
        <v>44633</v>
      </c>
      <c r="C81" s="2" t="s">
        <v>937</v>
      </c>
      <c r="D81" t="s">
        <v>6179</v>
      </c>
      <c r="E81" s="2">
        <v>4</v>
      </c>
      <c r="F81" s="2" t="str">
        <f>_xlfn.XLOOKUP(C81,Customers!$A$2:$A$1001,Customers!$B$2:$B$1001,0)</f>
        <v>Cletis Giacomazzo</v>
      </c>
      <c r="G81" s="2" t="str">
        <f>IF(_xlfn.XLOOKUP(C81,Customers!$A$2:$A$1001,Customers!$C$2:$C$1001)=0,"",_xlfn.XLOOKUP(C81,Customers!$A$2:$A$1001,Customers!$C$2:$C$1001))</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_xlfn.XLOOKUP(Orders[[#This Row],[Customer ID]],Customers!$A$2:$A$1001,Customers!$I$2:$I$1001,0)</f>
        <v>No</v>
      </c>
    </row>
    <row r="82" spans="1:16" x14ac:dyDescent="0.3">
      <c r="A82" s="2" t="s">
        <v>942</v>
      </c>
      <c r="B82" s="3">
        <v>43572</v>
      </c>
      <c r="C82" s="2" t="s">
        <v>943</v>
      </c>
      <c r="D82" t="s">
        <v>6180</v>
      </c>
      <c r="E82" s="2">
        <v>5</v>
      </c>
      <c r="F82" s="2" t="str">
        <f>_xlfn.XLOOKUP(C82,Customers!$A$2:$A$1001,Customers!$B$2:$B$1001,0)</f>
        <v>Ami Arnow</v>
      </c>
      <c r="G82" s="2" t="str">
        <f>IF(_xlfn.XLOOKUP(C82,Customers!$A$2:$A$1001,Customers!$C$2:$C$1001)=0,"",_xlfn.XLOOKUP(C82,Customers!$A$2:$A$1001,Customers!$C$2:$C$1001))</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_xlfn.XLOOKUP(Orders[[#This Row],[Customer ID]],Customers!$A$2:$A$1001,Customers!$I$2:$I$1001,0)</f>
        <v>Yes</v>
      </c>
    </row>
    <row r="83" spans="1:16" x14ac:dyDescent="0.3">
      <c r="A83" s="2" t="s">
        <v>948</v>
      </c>
      <c r="B83" s="3">
        <v>43763</v>
      </c>
      <c r="C83" s="2" t="s">
        <v>949</v>
      </c>
      <c r="D83" t="s">
        <v>6164</v>
      </c>
      <c r="E83" s="2">
        <v>3</v>
      </c>
      <c r="F83" s="2" t="str">
        <f>_xlfn.XLOOKUP(C83,Customers!$A$2:$A$1001,Customers!$B$2:$B$1001,0)</f>
        <v>Sheppard Yann</v>
      </c>
      <c r="G83" s="2" t="str">
        <f>IF(_xlfn.XLOOKUP(C83,Customers!$A$2:$A$1001,Customers!$C$2:$C$1001)=0,"",_xlfn.XLOOKUP(C83,Customers!$A$2:$A$1001,Customers!$C$2:$C$1001))</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_xlfn.XLOOKUP(Orders[[#This Row],[Customer ID]],Customers!$A$2:$A$1001,Customers!$I$2:$I$1001,0)</f>
        <v>Yes</v>
      </c>
    </row>
    <row r="84" spans="1:16" x14ac:dyDescent="0.3">
      <c r="A84" s="2" t="s">
        <v>954</v>
      </c>
      <c r="B84" s="3">
        <v>43721</v>
      </c>
      <c r="C84" s="2" t="s">
        <v>955</v>
      </c>
      <c r="D84" t="s">
        <v>6181</v>
      </c>
      <c r="E84" s="2">
        <v>3</v>
      </c>
      <c r="F84" s="2" t="str">
        <f>_xlfn.XLOOKUP(C84,Customers!$A$2:$A$1001,Customers!$B$2:$B$1001,0)</f>
        <v>Bunny Naulls</v>
      </c>
      <c r="G84" s="2" t="str">
        <f>IF(_xlfn.XLOOKUP(C84,Customers!$A$2:$A$1001,Customers!$C$2:$C$1001)=0,"",_xlfn.XLOOKUP(C84,Customers!$A$2:$A$1001,Customers!$C$2:$C$1001))</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_xlfn.XLOOKUP(Orders[[#This Row],[Customer ID]],Customers!$A$2:$A$1001,Customers!$I$2:$I$1001,0)</f>
        <v>Yes</v>
      </c>
    </row>
    <row r="85" spans="1:16" x14ac:dyDescent="0.3">
      <c r="A85" s="2" t="s">
        <v>960</v>
      </c>
      <c r="B85" s="3">
        <v>43933</v>
      </c>
      <c r="C85" s="2" t="s">
        <v>961</v>
      </c>
      <c r="D85" t="s">
        <v>6149</v>
      </c>
      <c r="E85" s="2">
        <v>4</v>
      </c>
      <c r="F85" s="2" t="str">
        <f>_xlfn.XLOOKUP(C85,Customers!$A$2:$A$1001,Customers!$B$2:$B$1001,0)</f>
        <v>Hally Lorait</v>
      </c>
      <c r="G85" s="2" t="str">
        <f>IF(_xlfn.XLOOKUP(C85,Customers!$A$2:$A$1001,Customers!$C$2:$C$1001)=0,"",_xlfn.XLOOKUP(C85,Customers!$A$2:$A$1001,Customers!$C$2:$C$1001))</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_xlfn.XLOOKUP(Orders[[#This Row],[Customer ID]],Customers!$A$2:$A$1001,Customers!$I$2:$I$1001,0)</f>
        <v>Yes</v>
      </c>
    </row>
    <row r="86" spans="1:16" x14ac:dyDescent="0.3">
      <c r="A86" s="2" t="s">
        <v>965</v>
      </c>
      <c r="B86" s="3">
        <v>43783</v>
      </c>
      <c r="C86" s="2" t="s">
        <v>966</v>
      </c>
      <c r="D86" t="s">
        <v>6161</v>
      </c>
      <c r="E86" s="2">
        <v>1</v>
      </c>
      <c r="F86" s="2" t="str">
        <f>_xlfn.XLOOKUP(C86,Customers!$A$2:$A$1001,Customers!$B$2:$B$1001,0)</f>
        <v>Zaccaria Sherewood</v>
      </c>
      <c r="G86" s="2" t="str">
        <f>IF(_xlfn.XLOOKUP(C86,Customers!$A$2:$A$1001,Customers!$C$2:$C$1001)=0,"",_xlfn.XLOOKUP(C86,Customers!$A$2:$A$1001,Customers!$C$2:$C$1001))</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_xlfn.XLOOKUP(Orders[[#This Row],[Customer ID]],Customers!$A$2:$A$1001,Customers!$I$2:$I$1001,0)</f>
        <v>No</v>
      </c>
    </row>
    <row r="87" spans="1:16" x14ac:dyDescent="0.3">
      <c r="A87" s="2" t="s">
        <v>971</v>
      </c>
      <c r="B87" s="3">
        <v>43664</v>
      </c>
      <c r="C87" s="2" t="s">
        <v>972</v>
      </c>
      <c r="D87" t="s">
        <v>6182</v>
      </c>
      <c r="E87" s="2">
        <v>3</v>
      </c>
      <c r="F87" s="2" t="str">
        <f>_xlfn.XLOOKUP(C87,Customers!$A$2:$A$1001,Customers!$B$2:$B$1001,0)</f>
        <v>Jeffrey Dufaire</v>
      </c>
      <c r="G87" s="2" t="str">
        <f>IF(_xlfn.XLOOKUP(C87,Customers!$A$2:$A$1001,Customers!$C$2:$C$1001)=0,"",_xlfn.XLOOKUP(C87,Customers!$A$2:$A$1001,Customers!$C$2:$C$1001))</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_xlfn.XLOOKUP(Orders[[#This Row],[Customer ID]],Customers!$A$2:$A$1001,Customers!$I$2:$I$1001,0)</f>
        <v>No</v>
      </c>
    </row>
    <row r="88" spans="1:16" x14ac:dyDescent="0.3">
      <c r="A88" s="2" t="s">
        <v>971</v>
      </c>
      <c r="B88" s="3">
        <v>43664</v>
      </c>
      <c r="C88" s="2" t="s">
        <v>972</v>
      </c>
      <c r="D88" t="s">
        <v>6154</v>
      </c>
      <c r="E88" s="2">
        <v>4</v>
      </c>
      <c r="F88" s="2" t="str">
        <f>_xlfn.XLOOKUP(C88,Customers!$A$2:$A$1001,Customers!$B$2:$B$1001,0)</f>
        <v>Jeffrey Dufaire</v>
      </c>
      <c r="G88" s="2" t="str">
        <f>IF(_xlfn.XLOOKUP(C88,Customers!$A$2:$A$1001,Customers!$C$2:$C$1001)=0,"",_xlfn.XLOOKUP(C88,Customers!$A$2:$A$1001,Customers!$C$2:$C$1001))</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_xlfn.XLOOKUP(Orders[[#This Row],[Customer ID]],Customers!$A$2:$A$1001,Customers!$I$2:$I$1001,0)</f>
        <v>No</v>
      </c>
    </row>
    <row r="89" spans="1:16" x14ac:dyDescent="0.3">
      <c r="A89" s="2" t="s">
        <v>980</v>
      </c>
      <c r="B89" s="3">
        <v>44289</v>
      </c>
      <c r="C89" s="2" t="s">
        <v>981</v>
      </c>
      <c r="D89" t="s">
        <v>6155</v>
      </c>
      <c r="E89" s="2">
        <v>3</v>
      </c>
      <c r="F89" s="2" t="str">
        <f>_xlfn.XLOOKUP(C89,Customers!$A$2:$A$1001,Customers!$B$2:$B$1001,0)</f>
        <v>Beitris Keaveney</v>
      </c>
      <c r="G89" s="2" t="str">
        <f>IF(_xlfn.XLOOKUP(C89,Customers!$A$2:$A$1001,Customers!$C$2:$C$1001)=0,"",_xlfn.XLOOKUP(C89,Customers!$A$2:$A$1001,Customers!$C$2:$C$1001))</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_xlfn.XLOOKUP(Orders[[#This Row],[Customer ID]],Customers!$A$2:$A$1001,Customers!$I$2:$I$1001,0)</f>
        <v>No</v>
      </c>
    </row>
    <row r="90" spans="1:16" x14ac:dyDescent="0.3">
      <c r="A90" s="2" t="s">
        <v>985</v>
      </c>
      <c r="B90" s="3">
        <v>44284</v>
      </c>
      <c r="C90" s="2" t="s">
        <v>986</v>
      </c>
      <c r="D90" t="s">
        <v>6179</v>
      </c>
      <c r="E90" s="2">
        <v>3</v>
      </c>
      <c r="F90" s="2" t="str">
        <f>_xlfn.XLOOKUP(C90,Customers!$A$2:$A$1001,Customers!$B$2:$B$1001,0)</f>
        <v>Elna Grise</v>
      </c>
      <c r="G90" s="2" t="str">
        <f>IF(_xlfn.XLOOKUP(C90,Customers!$A$2:$A$1001,Customers!$C$2:$C$1001)=0,"",_xlfn.XLOOKUP(C90,Customers!$A$2:$A$1001,Customers!$C$2:$C$1001))</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_xlfn.XLOOKUP(Orders[[#This Row],[Customer ID]],Customers!$A$2:$A$1001,Customers!$I$2:$I$1001,0)</f>
        <v>No</v>
      </c>
    </row>
    <row r="91" spans="1:16" x14ac:dyDescent="0.3">
      <c r="A91" s="2" t="s">
        <v>990</v>
      </c>
      <c r="B91" s="3">
        <v>44545</v>
      </c>
      <c r="C91" s="2" t="s">
        <v>991</v>
      </c>
      <c r="D91" t="s">
        <v>6140</v>
      </c>
      <c r="E91" s="2">
        <v>6</v>
      </c>
      <c r="F91" s="2" t="str">
        <f>_xlfn.XLOOKUP(C91,Customers!$A$2:$A$1001,Customers!$B$2:$B$1001,0)</f>
        <v>Torie Gottelier</v>
      </c>
      <c r="G91" s="2" t="str">
        <f>IF(_xlfn.XLOOKUP(C91,Customers!$A$2:$A$1001,Customers!$C$2:$C$1001)=0,"",_xlfn.XLOOKUP(C91,Customers!$A$2:$A$1001,Customers!$C$2:$C$1001))</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_xlfn.XLOOKUP(Orders[[#This Row],[Customer ID]],Customers!$A$2:$A$1001,Customers!$I$2:$I$1001,0)</f>
        <v>No</v>
      </c>
    </row>
    <row r="92" spans="1:16" x14ac:dyDescent="0.3">
      <c r="A92" s="2" t="s">
        <v>996</v>
      </c>
      <c r="B92" s="3">
        <v>43971</v>
      </c>
      <c r="C92" s="2" t="s">
        <v>997</v>
      </c>
      <c r="D92" t="s">
        <v>6140</v>
      </c>
      <c r="E92" s="2">
        <v>4</v>
      </c>
      <c r="F92" s="2" t="str">
        <f>_xlfn.XLOOKUP(C92,Customers!$A$2:$A$1001,Customers!$B$2:$B$1001,0)</f>
        <v>Loydie Langlais</v>
      </c>
      <c r="G92" s="2" t="str">
        <f>IF(_xlfn.XLOOKUP(C92,Customers!$A$2:$A$1001,Customers!$C$2:$C$1001)=0,"",_xlfn.XLOOKUP(C92,Customers!$A$2:$A$1001,Customers!$C$2:$C$1001))</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_xlfn.XLOOKUP(Orders[[#This Row],[Customer ID]],Customers!$A$2:$A$1001,Customers!$I$2:$I$1001,0)</f>
        <v>Yes</v>
      </c>
    </row>
    <row r="93" spans="1:16" x14ac:dyDescent="0.3">
      <c r="A93" s="2" t="s">
        <v>1001</v>
      </c>
      <c r="B93" s="3">
        <v>44137</v>
      </c>
      <c r="C93" s="2" t="s">
        <v>1002</v>
      </c>
      <c r="D93" t="s">
        <v>6175</v>
      </c>
      <c r="E93" s="2">
        <v>4</v>
      </c>
      <c r="F93" s="2" t="str">
        <f>_xlfn.XLOOKUP(C93,Customers!$A$2:$A$1001,Customers!$B$2:$B$1001,0)</f>
        <v>Adham Greenhead</v>
      </c>
      <c r="G93" s="2" t="str">
        <f>IF(_xlfn.XLOOKUP(C93,Customers!$A$2:$A$1001,Customers!$C$2:$C$1001)=0,"",_xlfn.XLOOKUP(C93,Customers!$A$2:$A$1001,Customers!$C$2:$C$1001))</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_xlfn.XLOOKUP(Orders[[#This Row],[Customer ID]],Customers!$A$2:$A$1001,Customers!$I$2:$I$1001,0)</f>
        <v>No</v>
      </c>
    </row>
    <row r="94" spans="1:16" x14ac:dyDescent="0.3">
      <c r="A94" s="2" t="s">
        <v>1007</v>
      </c>
      <c r="B94" s="3">
        <v>44037</v>
      </c>
      <c r="C94" s="2" t="s">
        <v>1008</v>
      </c>
      <c r="D94" t="s">
        <v>6171</v>
      </c>
      <c r="E94" s="2">
        <v>3</v>
      </c>
      <c r="F94" s="2" t="str">
        <f>_xlfn.XLOOKUP(C94,Customers!$A$2:$A$1001,Customers!$B$2:$B$1001,0)</f>
        <v>Hamish MacSherry</v>
      </c>
      <c r="G94" s="2" t="str">
        <f>IF(_xlfn.XLOOKUP(C94,Customers!$A$2:$A$1001,Customers!$C$2:$C$1001)=0,"",_xlfn.XLOOKUP(C94,Customers!$A$2:$A$1001,Customers!$C$2:$C$1001))</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_xlfn.XLOOKUP(Orders[[#This Row],[Customer ID]],Customers!$A$2:$A$1001,Customers!$I$2:$I$1001,0)</f>
        <v>Yes</v>
      </c>
    </row>
    <row r="95" spans="1:16" x14ac:dyDescent="0.3">
      <c r="A95" s="2" t="s">
        <v>1012</v>
      </c>
      <c r="B95" s="3">
        <v>43538</v>
      </c>
      <c r="C95" s="2" t="s">
        <v>1013</v>
      </c>
      <c r="D95" t="s">
        <v>6176</v>
      </c>
      <c r="E95" s="2">
        <v>4</v>
      </c>
      <c r="F95" s="2" t="str">
        <f>_xlfn.XLOOKUP(C95,Customers!$A$2:$A$1001,Customers!$B$2:$B$1001,0)</f>
        <v>Else Langcaster</v>
      </c>
      <c r="G95" s="2" t="str">
        <f>IF(_xlfn.XLOOKUP(C95,Customers!$A$2:$A$1001,Customers!$C$2:$C$1001)=0,"",_xlfn.XLOOKUP(C95,Customers!$A$2:$A$1001,Customers!$C$2:$C$1001))</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_xlfn.XLOOKUP(Orders[[#This Row],[Customer ID]],Customers!$A$2:$A$1001,Customers!$I$2:$I$1001,0)</f>
        <v>Yes</v>
      </c>
    </row>
    <row r="96" spans="1:16" x14ac:dyDescent="0.3">
      <c r="A96" s="2" t="s">
        <v>1018</v>
      </c>
      <c r="B96" s="3">
        <v>44014</v>
      </c>
      <c r="C96" s="2" t="s">
        <v>1019</v>
      </c>
      <c r="D96" t="s">
        <v>6154</v>
      </c>
      <c r="E96" s="2">
        <v>6</v>
      </c>
      <c r="F96" s="2" t="str">
        <f>_xlfn.XLOOKUP(C96,Customers!$A$2:$A$1001,Customers!$B$2:$B$1001,0)</f>
        <v>Rudy Farquharson</v>
      </c>
      <c r="G96" s="2" t="str">
        <f>IF(_xlfn.XLOOKUP(C96,Customers!$A$2:$A$1001,Customers!$C$2:$C$1001)=0,"",_xlfn.XLOOKUP(C96,Customers!$A$2:$A$1001,Customers!$C$2:$C$1001))</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_xlfn.XLOOKUP(Orders[[#This Row],[Customer ID]],Customers!$A$2:$A$1001,Customers!$I$2:$I$1001,0)</f>
        <v>Yes</v>
      </c>
    </row>
    <row r="97" spans="1:16" x14ac:dyDescent="0.3">
      <c r="A97" s="2" t="s">
        <v>1022</v>
      </c>
      <c r="B97" s="3">
        <v>43816</v>
      </c>
      <c r="C97" s="2" t="s">
        <v>1023</v>
      </c>
      <c r="D97" t="s">
        <v>6175</v>
      </c>
      <c r="E97" s="2">
        <v>6</v>
      </c>
      <c r="F97" s="2" t="str">
        <f>_xlfn.XLOOKUP(C97,Customers!$A$2:$A$1001,Customers!$B$2:$B$1001,0)</f>
        <v>Norene Magauran</v>
      </c>
      <c r="G97" s="2" t="str">
        <f>IF(_xlfn.XLOOKUP(C97,Customers!$A$2:$A$1001,Customers!$C$2:$C$1001)=0,"",_xlfn.XLOOKUP(C97,Customers!$A$2:$A$1001,Customers!$C$2:$C$1001))</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_xlfn.XLOOKUP(Orders[[#This Row],[Customer ID]],Customers!$A$2:$A$1001,Customers!$I$2:$I$1001,0)</f>
        <v>No</v>
      </c>
    </row>
    <row r="98" spans="1:16" x14ac:dyDescent="0.3">
      <c r="A98" s="2" t="s">
        <v>1027</v>
      </c>
      <c r="B98" s="3">
        <v>44171</v>
      </c>
      <c r="C98" s="2" t="s">
        <v>1028</v>
      </c>
      <c r="D98" t="s">
        <v>6154</v>
      </c>
      <c r="E98" s="2">
        <v>2</v>
      </c>
      <c r="F98" s="2" t="str">
        <f>_xlfn.XLOOKUP(C98,Customers!$A$2:$A$1001,Customers!$B$2:$B$1001,0)</f>
        <v>Vicki Kirdsch</v>
      </c>
      <c r="G98" s="2" t="str">
        <f>IF(_xlfn.XLOOKUP(C98,Customers!$A$2:$A$1001,Customers!$C$2:$C$1001)=0,"",_xlfn.XLOOKUP(C98,Customers!$A$2:$A$1001,Customers!$C$2:$C$1001))</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_xlfn.XLOOKUP(Orders[[#This Row],[Customer ID]],Customers!$A$2:$A$1001,Customers!$I$2:$I$1001,0)</f>
        <v>No</v>
      </c>
    </row>
    <row r="99" spans="1:16" x14ac:dyDescent="0.3">
      <c r="A99" s="2" t="s">
        <v>1032</v>
      </c>
      <c r="B99" s="3">
        <v>44259</v>
      </c>
      <c r="C99" s="2" t="s">
        <v>1033</v>
      </c>
      <c r="D99" t="s">
        <v>6157</v>
      </c>
      <c r="E99" s="2">
        <v>2</v>
      </c>
      <c r="F99" s="2" t="str">
        <f>_xlfn.XLOOKUP(C99,Customers!$A$2:$A$1001,Customers!$B$2:$B$1001,0)</f>
        <v>Ilysa Whapple</v>
      </c>
      <c r="G99" s="2" t="str">
        <f>IF(_xlfn.XLOOKUP(C99,Customers!$A$2:$A$1001,Customers!$C$2:$C$1001)=0,"",_xlfn.XLOOKUP(C99,Customers!$A$2:$A$1001,Customers!$C$2:$C$1001))</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_xlfn.XLOOKUP(Orders[[#This Row],[Customer ID]],Customers!$A$2:$A$1001,Customers!$I$2:$I$1001,0)</f>
        <v>No</v>
      </c>
    </row>
    <row r="100" spans="1:16" x14ac:dyDescent="0.3">
      <c r="A100" s="2" t="s">
        <v>1038</v>
      </c>
      <c r="B100" s="3">
        <v>44394</v>
      </c>
      <c r="C100" s="2" t="s">
        <v>1039</v>
      </c>
      <c r="D100" t="s">
        <v>6154</v>
      </c>
      <c r="E100" s="2">
        <v>1</v>
      </c>
      <c r="F100" s="2" t="str">
        <f>_xlfn.XLOOKUP(C100,Customers!$A$2:$A$1001,Customers!$B$2:$B$1001,0)</f>
        <v>Ruy Cancellieri</v>
      </c>
      <c r="G100" s="2" t="str">
        <f>IF(_xlfn.XLOOKUP(C100,Customers!$A$2:$A$1001,Customers!$C$2:$C$1001)=0,"",_xlfn.XLOOKUP(C100,Customers!$A$2:$A$1001,Customers!$C$2:$C$1001))</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_xlfn.XLOOKUP(Orders[[#This Row],[Customer ID]],Customers!$A$2:$A$1001,Customers!$I$2:$I$1001,0)</f>
        <v>No</v>
      </c>
    </row>
    <row r="101" spans="1:16" x14ac:dyDescent="0.3">
      <c r="A101" s="2" t="s">
        <v>1043</v>
      </c>
      <c r="B101" s="3">
        <v>44139</v>
      </c>
      <c r="C101" s="2" t="s">
        <v>1044</v>
      </c>
      <c r="D101" t="s">
        <v>6159</v>
      </c>
      <c r="E101" s="2">
        <v>3</v>
      </c>
      <c r="F101" s="2" t="str">
        <f>_xlfn.XLOOKUP(C101,Customers!$A$2:$A$1001,Customers!$B$2:$B$1001,0)</f>
        <v>Aube Follett</v>
      </c>
      <c r="G101" s="2" t="str">
        <f>IF(_xlfn.XLOOKUP(C101,Customers!$A$2:$A$1001,Customers!$C$2:$C$1001)=0,"",_xlfn.XLOOKUP(C101,Customers!$A$2:$A$1001,Customers!$C$2:$C$1001))</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_xlfn.XLOOKUP(Orders[[#This Row],[Customer ID]],Customers!$A$2:$A$1001,Customers!$I$2:$I$1001,0)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IF(_xlfn.XLOOKUP(C102,Customers!$A$2:$A$1001,Customers!$C$2:$C$1001)=0,"",_xlfn.XLOOKUP(C102,Customers!$A$2:$A$1001,Customers!$C$2:$C$1001))</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_xlfn.XLOOKUP(Orders[[#This Row],[Customer ID]],Customers!$A$2:$A$1001,Customers!$I$2:$I$1001,0)</f>
        <v>Yes</v>
      </c>
    </row>
    <row r="103" spans="1:16" x14ac:dyDescent="0.3">
      <c r="A103" s="2" t="s">
        <v>1053</v>
      </c>
      <c r="B103" s="3">
        <v>43891</v>
      </c>
      <c r="C103" s="2" t="s">
        <v>1054</v>
      </c>
      <c r="D103" t="s">
        <v>6165</v>
      </c>
      <c r="E103" s="2">
        <v>5</v>
      </c>
      <c r="F103" s="2" t="str">
        <f>_xlfn.XLOOKUP(C103,Customers!$A$2:$A$1001,Customers!$B$2:$B$1001,0)</f>
        <v>Nickey Youles</v>
      </c>
      <c r="G103" s="2" t="str">
        <f>IF(_xlfn.XLOOKUP(C103,Customers!$A$2:$A$1001,Customers!$C$2:$C$1001)=0,"",_xlfn.XLOOKUP(C103,Customers!$A$2:$A$1001,Customers!$C$2:$C$1001))</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_xlfn.XLOOKUP(Orders[[#This Row],[Customer ID]],Customers!$A$2:$A$1001,Customers!$I$2:$I$1001,0)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IF(_xlfn.XLOOKUP(C104,Customers!$A$2:$A$1001,Customers!$C$2:$C$1001)=0,"",_xlfn.XLOOKUP(C104,Customers!$A$2:$A$1001,Customers!$C$2:$C$1001))</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_xlfn.XLOOKUP(Orders[[#This Row],[Customer ID]],Customers!$A$2:$A$1001,Customers!$I$2:$I$1001,0)</f>
        <v>Yes</v>
      </c>
    </row>
    <row r="105" spans="1:16" x14ac:dyDescent="0.3">
      <c r="A105" s="2" t="s">
        <v>1065</v>
      </c>
      <c r="B105" s="3">
        <v>44750</v>
      </c>
      <c r="C105" s="2" t="s">
        <v>1066</v>
      </c>
      <c r="D105" t="s">
        <v>6174</v>
      </c>
      <c r="E105" s="2">
        <v>4</v>
      </c>
      <c r="F105" s="2" t="str">
        <f>_xlfn.XLOOKUP(C105,Customers!$A$2:$A$1001,Customers!$B$2:$B$1001,0)</f>
        <v>Bram Revel</v>
      </c>
      <c r="G105" s="2" t="str">
        <f>IF(_xlfn.XLOOKUP(C105,Customers!$A$2:$A$1001,Customers!$C$2:$C$1001)=0,"",_xlfn.XLOOKUP(C105,Customers!$A$2:$A$1001,Customers!$C$2:$C$1001))</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_xlfn.XLOOKUP(Orders[[#This Row],[Customer ID]],Customers!$A$2:$A$1001,Customers!$I$2:$I$1001,0)</f>
        <v>No</v>
      </c>
    </row>
    <row r="106" spans="1:16" x14ac:dyDescent="0.3">
      <c r="A106" s="2" t="s">
        <v>1071</v>
      </c>
      <c r="B106" s="3">
        <v>43694</v>
      </c>
      <c r="C106" s="2" t="s">
        <v>1072</v>
      </c>
      <c r="D106" t="s">
        <v>6162</v>
      </c>
      <c r="E106" s="2">
        <v>6</v>
      </c>
      <c r="F106" s="2" t="str">
        <f>_xlfn.XLOOKUP(C106,Customers!$A$2:$A$1001,Customers!$B$2:$B$1001,0)</f>
        <v>Emiline Priddis</v>
      </c>
      <c r="G106" s="2" t="str">
        <f>IF(_xlfn.XLOOKUP(C106,Customers!$A$2:$A$1001,Customers!$C$2:$C$1001)=0,"",_xlfn.XLOOKUP(C106,Customers!$A$2:$A$1001,Customers!$C$2:$C$1001))</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_xlfn.XLOOKUP(Orders[[#This Row],[Customer ID]],Customers!$A$2:$A$1001,Customers!$I$2:$I$1001,0)</f>
        <v>No</v>
      </c>
    </row>
    <row r="107" spans="1:16" x14ac:dyDescent="0.3">
      <c r="A107" s="2" t="s">
        <v>1077</v>
      </c>
      <c r="B107" s="3">
        <v>43982</v>
      </c>
      <c r="C107" s="2" t="s">
        <v>1078</v>
      </c>
      <c r="D107" t="s">
        <v>6157</v>
      </c>
      <c r="E107" s="2">
        <v>6</v>
      </c>
      <c r="F107" s="2" t="str">
        <f>_xlfn.XLOOKUP(C107,Customers!$A$2:$A$1001,Customers!$B$2:$B$1001,0)</f>
        <v>Queenie Veel</v>
      </c>
      <c r="G107" s="2" t="str">
        <f>IF(_xlfn.XLOOKUP(C107,Customers!$A$2:$A$1001,Customers!$C$2:$C$1001)=0,"",_xlfn.XLOOKUP(C107,Customers!$A$2:$A$1001,Customers!$C$2:$C$1001))</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_xlfn.XLOOKUP(Orders[[#This Row],[Customer ID]],Customers!$A$2:$A$1001,Customers!$I$2:$I$1001,0)</f>
        <v>Yes</v>
      </c>
    </row>
    <row r="108" spans="1:16" x14ac:dyDescent="0.3">
      <c r="A108" s="2" t="s">
        <v>1083</v>
      </c>
      <c r="B108" s="3">
        <v>43956</v>
      </c>
      <c r="C108" s="2" t="s">
        <v>1084</v>
      </c>
      <c r="D108" t="s">
        <v>6183</v>
      </c>
      <c r="E108" s="2">
        <v>2</v>
      </c>
      <c r="F108" s="2" t="str">
        <f>_xlfn.XLOOKUP(C108,Customers!$A$2:$A$1001,Customers!$B$2:$B$1001,0)</f>
        <v>Lind Conyers</v>
      </c>
      <c r="G108" s="2" t="str">
        <f>IF(_xlfn.XLOOKUP(C108,Customers!$A$2:$A$1001,Customers!$C$2:$C$1001)=0,"",_xlfn.XLOOKUP(C108,Customers!$A$2:$A$1001,Customers!$C$2:$C$1001))</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_xlfn.XLOOKUP(Orders[[#This Row],[Customer ID]],Customers!$A$2:$A$1001,Customers!$I$2:$I$1001,0)</f>
        <v>No</v>
      </c>
    </row>
    <row r="109" spans="1:16" x14ac:dyDescent="0.3">
      <c r="A109" s="2" t="s">
        <v>1089</v>
      </c>
      <c r="B109" s="3">
        <v>43569</v>
      </c>
      <c r="C109" s="2" t="s">
        <v>1090</v>
      </c>
      <c r="D109" t="s">
        <v>6146</v>
      </c>
      <c r="E109" s="2">
        <v>3</v>
      </c>
      <c r="F109" s="2" t="str">
        <f>_xlfn.XLOOKUP(C109,Customers!$A$2:$A$1001,Customers!$B$2:$B$1001,0)</f>
        <v>Pen Wye</v>
      </c>
      <c r="G109" s="2" t="str">
        <f>IF(_xlfn.XLOOKUP(C109,Customers!$A$2:$A$1001,Customers!$C$2:$C$1001)=0,"",_xlfn.XLOOKUP(C109,Customers!$A$2:$A$1001,Customers!$C$2:$C$1001))</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_xlfn.XLOOKUP(Orders[[#This Row],[Customer ID]],Customers!$A$2:$A$1001,Customers!$I$2:$I$1001,0)</f>
        <v>Yes</v>
      </c>
    </row>
    <row r="110" spans="1:16" x14ac:dyDescent="0.3">
      <c r="A110" s="2" t="s">
        <v>1095</v>
      </c>
      <c r="B110" s="3">
        <v>44041</v>
      </c>
      <c r="C110" s="2" t="s">
        <v>1096</v>
      </c>
      <c r="D110" t="s">
        <v>6157</v>
      </c>
      <c r="E110" s="2">
        <v>4</v>
      </c>
      <c r="F110" s="2" t="str">
        <f>_xlfn.XLOOKUP(C110,Customers!$A$2:$A$1001,Customers!$B$2:$B$1001,0)</f>
        <v>Isahella Hagland</v>
      </c>
      <c r="G110" s="2" t="str">
        <f>IF(_xlfn.XLOOKUP(C110,Customers!$A$2:$A$1001,Customers!$C$2:$C$1001)=0,"",_xlfn.XLOOKUP(C110,Customers!$A$2:$A$1001,Customers!$C$2:$C$1001))</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_xlfn.XLOOKUP(Orders[[#This Row],[Customer ID]],Customers!$A$2:$A$1001,Customers!$I$2:$I$1001,0)</f>
        <v>No</v>
      </c>
    </row>
    <row r="111" spans="1:16" x14ac:dyDescent="0.3">
      <c r="A111" s="2" t="s">
        <v>1100</v>
      </c>
      <c r="B111" s="3">
        <v>43811</v>
      </c>
      <c r="C111" s="2" t="s">
        <v>1101</v>
      </c>
      <c r="D111" t="s">
        <v>6169</v>
      </c>
      <c r="E111" s="2">
        <v>1</v>
      </c>
      <c r="F111" s="2" t="str">
        <f>_xlfn.XLOOKUP(C111,Customers!$A$2:$A$1001,Customers!$B$2:$B$1001,0)</f>
        <v>Terry Sheryn</v>
      </c>
      <c r="G111" s="2" t="str">
        <f>IF(_xlfn.XLOOKUP(C111,Customers!$A$2:$A$1001,Customers!$C$2:$C$1001)=0,"",_xlfn.XLOOKUP(C111,Customers!$A$2:$A$1001,Customers!$C$2:$C$1001))</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_xlfn.XLOOKUP(Orders[[#This Row],[Customer ID]],Customers!$A$2:$A$1001,Customers!$I$2:$I$1001,0)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IF(_xlfn.XLOOKUP(C112,Customers!$A$2:$A$1001,Customers!$C$2:$C$1001)=0,"",_xlfn.XLOOKUP(C112,Customers!$A$2:$A$1001,Customers!$C$2:$C$1001))</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_xlfn.XLOOKUP(Orders[[#This Row],[Customer ID]],Customers!$A$2:$A$1001,Customers!$I$2:$I$1001,0)</f>
        <v>Yes</v>
      </c>
    </row>
    <row r="113" spans="1:16" x14ac:dyDescent="0.3">
      <c r="A113" s="2" t="s">
        <v>1112</v>
      </c>
      <c r="B113" s="3">
        <v>43642</v>
      </c>
      <c r="C113" s="2" t="s">
        <v>1113</v>
      </c>
      <c r="D113" t="s">
        <v>6172</v>
      </c>
      <c r="E113" s="2">
        <v>5</v>
      </c>
      <c r="F113" s="2" t="str">
        <f>_xlfn.XLOOKUP(C113,Customers!$A$2:$A$1001,Customers!$B$2:$B$1001,0)</f>
        <v>Betty Fominov</v>
      </c>
      <c r="G113" s="2" t="str">
        <f>IF(_xlfn.XLOOKUP(C113,Customers!$A$2:$A$1001,Customers!$C$2:$C$1001)=0,"",_xlfn.XLOOKUP(C113,Customers!$A$2:$A$1001,Customers!$C$2:$C$1001))</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_xlfn.XLOOKUP(Orders[[#This Row],[Customer ID]],Customers!$A$2:$A$1001,Customers!$I$2:$I$1001,0)</f>
        <v>No</v>
      </c>
    </row>
    <row r="114" spans="1:16" x14ac:dyDescent="0.3">
      <c r="A114" s="2" t="s">
        <v>1117</v>
      </c>
      <c r="B114" s="3">
        <v>44481</v>
      </c>
      <c r="C114" s="2" t="s">
        <v>1118</v>
      </c>
      <c r="D114" t="s">
        <v>6155</v>
      </c>
      <c r="E114" s="2">
        <v>1</v>
      </c>
      <c r="F114" s="2" t="str">
        <f>_xlfn.XLOOKUP(C114,Customers!$A$2:$A$1001,Customers!$B$2:$B$1001,0)</f>
        <v>Shawnee Critchlow</v>
      </c>
      <c r="G114" s="2" t="str">
        <f>IF(_xlfn.XLOOKUP(C114,Customers!$A$2:$A$1001,Customers!$C$2:$C$1001)=0,"",_xlfn.XLOOKUP(C114,Customers!$A$2:$A$1001,Customers!$C$2:$C$1001))</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_xlfn.XLOOKUP(Orders[[#This Row],[Customer ID]],Customers!$A$2:$A$1001,Customers!$I$2:$I$1001,0)</f>
        <v>No</v>
      </c>
    </row>
    <row r="115" spans="1:16" x14ac:dyDescent="0.3">
      <c r="A115" s="2" t="s">
        <v>1123</v>
      </c>
      <c r="B115" s="3">
        <v>43556</v>
      </c>
      <c r="C115" s="2" t="s">
        <v>1124</v>
      </c>
      <c r="D115" t="s">
        <v>6162</v>
      </c>
      <c r="E115" s="2">
        <v>1</v>
      </c>
      <c r="F115" s="2" t="str">
        <f>_xlfn.XLOOKUP(C115,Customers!$A$2:$A$1001,Customers!$B$2:$B$1001,0)</f>
        <v>Merrel Steptow</v>
      </c>
      <c r="G115" s="2" t="str">
        <f>IF(_xlfn.XLOOKUP(C115,Customers!$A$2:$A$1001,Customers!$C$2:$C$1001)=0,"",_xlfn.XLOOKUP(C115,Customers!$A$2:$A$1001,Customers!$C$2:$C$1001))</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_xlfn.XLOOKUP(Orders[[#This Row],[Customer ID]],Customers!$A$2:$A$1001,Customers!$I$2:$I$1001,0)</f>
        <v>No</v>
      </c>
    </row>
    <row r="116" spans="1:16" x14ac:dyDescent="0.3">
      <c r="A116" s="2" t="s">
        <v>1129</v>
      </c>
      <c r="B116" s="3">
        <v>44265</v>
      </c>
      <c r="C116" s="2" t="s">
        <v>1130</v>
      </c>
      <c r="D116" t="s">
        <v>6178</v>
      </c>
      <c r="E116" s="2">
        <v>4</v>
      </c>
      <c r="F116" s="2" t="str">
        <f>_xlfn.XLOOKUP(C116,Customers!$A$2:$A$1001,Customers!$B$2:$B$1001,0)</f>
        <v>Carmina Hubbuck</v>
      </c>
      <c r="G116" s="2" t="str">
        <f>IF(_xlfn.XLOOKUP(C116,Customers!$A$2:$A$1001,Customers!$C$2:$C$1001)=0,"",_xlfn.XLOOKUP(C116,Customers!$A$2:$A$1001,Customers!$C$2:$C$1001))</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_xlfn.XLOOKUP(Orders[[#This Row],[Customer ID]],Customers!$A$2:$A$1001,Customers!$I$2:$I$1001,0)</f>
        <v>No</v>
      </c>
    </row>
    <row r="117" spans="1:16" x14ac:dyDescent="0.3">
      <c r="A117" s="2" t="s">
        <v>1134</v>
      </c>
      <c r="B117" s="3">
        <v>43693</v>
      </c>
      <c r="C117" s="2" t="s">
        <v>1135</v>
      </c>
      <c r="D117" t="s">
        <v>6170</v>
      </c>
      <c r="E117" s="2">
        <v>1</v>
      </c>
      <c r="F117" s="2" t="str">
        <f>_xlfn.XLOOKUP(C117,Customers!$A$2:$A$1001,Customers!$B$2:$B$1001,0)</f>
        <v>Ingeberg Mulliner</v>
      </c>
      <c r="G117" s="2" t="str">
        <f>IF(_xlfn.XLOOKUP(C117,Customers!$A$2:$A$1001,Customers!$C$2:$C$1001)=0,"",_xlfn.XLOOKUP(C117,Customers!$A$2:$A$1001,Customers!$C$2:$C$1001))</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_xlfn.XLOOKUP(Orders[[#This Row],[Customer ID]],Customers!$A$2:$A$1001,Customers!$I$2:$I$1001,0)</f>
        <v>No</v>
      </c>
    </row>
    <row r="118" spans="1:16" x14ac:dyDescent="0.3">
      <c r="A118" s="2" t="s">
        <v>1140</v>
      </c>
      <c r="B118" s="3">
        <v>44054</v>
      </c>
      <c r="C118" s="2" t="s">
        <v>1141</v>
      </c>
      <c r="D118" t="s">
        <v>6145</v>
      </c>
      <c r="E118" s="2">
        <v>4</v>
      </c>
      <c r="F118" s="2" t="str">
        <f>_xlfn.XLOOKUP(C118,Customers!$A$2:$A$1001,Customers!$B$2:$B$1001,0)</f>
        <v>Geneva Standley</v>
      </c>
      <c r="G118" s="2" t="str">
        <f>IF(_xlfn.XLOOKUP(C118,Customers!$A$2:$A$1001,Customers!$C$2:$C$1001)=0,"",_xlfn.XLOOKUP(C118,Customers!$A$2:$A$1001,Customers!$C$2:$C$1001))</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_xlfn.XLOOKUP(Orders[[#This Row],[Customer ID]],Customers!$A$2:$A$1001,Customers!$I$2:$I$1001,0)</f>
        <v>Yes</v>
      </c>
    </row>
    <row r="119" spans="1:16" x14ac:dyDescent="0.3">
      <c r="A119" s="2" t="s">
        <v>1146</v>
      </c>
      <c r="B119" s="3">
        <v>44656</v>
      </c>
      <c r="C119" s="2" t="s">
        <v>1147</v>
      </c>
      <c r="D119" t="s">
        <v>6161</v>
      </c>
      <c r="E119" s="2">
        <v>4</v>
      </c>
      <c r="F119" s="2" t="str">
        <f>_xlfn.XLOOKUP(C119,Customers!$A$2:$A$1001,Customers!$B$2:$B$1001,0)</f>
        <v>Brook Drage</v>
      </c>
      <c r="G119" s="2" t="str">
        <f>IF(_xlfn.XLOOKUP(C119,Customers!$A$2:$A$1001,Customers!$C$2:$C$1001)=0,"",_xlfn.XLOOKUP(C119,Customers!$A$2:$A$1001,Customers!$C$2:$C$1001))</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_xlfn.XLOOKUP(Orders[[#This Row],[Customer ID]],Customers!$A$2:$A$1001,Customers!$I$2:$I$1001,0)</f>
        <v>No</v>
      </c>
    </row>
    <row r="120" spans="1:16" x14ac:dyDescent="0.3">
      <c r="A120" s="2" t="s">
        <v>1152</v>
      </c>
      <c r="B120" s="3">
        <v>43760</v>
      </c>
      <c r="C120" s="2" t="s">
        <v>1153</v>
      </c>
      <c r="D120" t="s">
        <v>6144</v>
      </c>
      <c r="E120" s="2">
        <v>3</v>
      </c>
      <c r="F120" s="2" t="str">
        <f>_xlfn.XLOOKUP(C120,Customers!$A$2:$A$1001,Customers!$B$2:$B$1001,0)</f>
        <v>Muffin Yallop</v>
      </c>
      <c r="G120" s="2" t="str">
        <f>IF(_xlfn.XLOOKUP(C120,Customers!$A$2:$A$1001,Customers!$C$2:$C$1001)=0,"",_xlfn.XLOOKUP(C120,Customers!$A$2:$A$1001,Customers!$C$2:$C$1001))</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_xlfn.XLOOKUP(Orders[[#This Row],[Customer ID]],Customers!$A$2:$A$1001,Customers!$I$2:$I$1001,0)</f>
        <v>Yes</v>
      </c>
    </row>
    <row r="121" spans="1:16" x14ac:dyDescent="0.3">
      <c r="A121" s="2" t="s">
        <v>1158</v>
      </c>
      <c r="B121" s="3">
        <v>44471</v>
      </c>
      <c r="C121" s="2" t="s">
        <v>1159</v>
      </c>
      <c r="D121" t="s">
        <v>6156</v>
      </c>
      <c r="E121" s="2">
        <v>1</v>
      </c>
      <c r="F121" s="2" t="str">
        <f>_xlfn.XLOOKUP(C121,Customers!$A$2:$A$1001,Customers!$B$2:$B$1001,0)</f>
        <v>Cordi Switsur</v>
      </c>
      <c r="G121" s="2" t="str">
        <f>IF(_xlfn.XLOOKUP(C121,Customers!$A$2:$A$1001,Customers!$C$2:$C$1001)=0,"",_xlfn.XLOOKUP(C121,Customers!$A$2:$A$1001,Customers!$C$2:$C$1001))</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_xlfn.XLOOKUP(Orders[[#This Row],[Customer ID]],Customers!$A$2:$A$1001,Customers!$I$2:$I$1001,0)</f>
        <v>No</v>
      </c>
    </row>
    <row r="122" spans="1:16" x14ac:dyDescent="0.3">
      <c r="A122" s="2" t="s">
        <v>1158</v>
      </c>
      <c r="B122" s="3">
        <v>44471</v>
      </c>
      <c r="C122" s="2" t="s">
        <v>1159</v>
      </c>
      <c r="D122" t="s">
        <v>6167</v>
      </c>
      <c r="E122" s="2">
        <v>1</v>
      </c>
      <c r="F122" s="2" t="str">
        <f>_xlfn.XLOOKUP(C122,Customers!$A$2:$A$1001,Customers!$B$2:$B$1001,0)</f>
        <v>Cordi Switsur</v>
      </c>
      <c r="G122" s="2" t="str">
        <f>IF(_xlfn.XLOOKUP(C122,Customers!$A$2:$A$1001,Customers!$C$2:$C$1001)=0,"",_xlfn.XLOOKUP(C122,Customers!$A$2:$A$1001,Customers!$C$2:$C$1001))</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_xlfn.XLOOKUP(Orders[[#This Row],[Customer ID]],Customers!$A$2:$A$1001,Customers!$I$2:$I$1001,0)</f>
        <v>No</v>
      </c>
    </row>
    <row r="123" spans="1:16" x14ac:dyDescent="0.3">
      <c r="A123" s="2" t="s">
        <v>1158</v>
      </c>
      <c r="B123" s="3">
        <v>44471</v>
      </c>
      <c r="C123" s="2" t="s">
        <v>1159</v>
      </c>
      <c r="D123" t="s">
        <v>6141</v>
      </c>
      <c r="E123" s="2">
        <v>5</v>
      </c>
      <c r="F123" s="2" t="str">
        <f>_xlfn.XLOOKUP(C123,Customers!$A$2:$A$1001,Customers!$B$2:$B$1001,0)</f>
        <v>Cordi Switsur</v>
      </c>
      <c r="G123" s="2" t="str">
        <f>IF(_xlfn.XLOOKUP(C123,Customers!$A$2:$A$1001,Customers!$C$2:$C$1001)=0,"",_xlfn.XLOOKUP(C123,Customers!$A$2:$A$1001,Customers!$C$2:$C$1001))</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_xlfn.XLOOKUP(Orders[[#This Row],[Customer ID]],Customers!$A$2:$A$1001,Customers!$I$2:$I$1001,0)</f>
        <v>No</v>
      </c>
    </row>
    <row r="124" spans="1:16" x14ac:dyDescent="0.3">
      <c r="A124" s="2" t="s">
        <v>1174</v>
      </c>
      <c r="B124" s="3">
        <v>44268</v>
      </c>
      <c r="C124" s="2" t="s">
        <v>1175</v>
      </c>
      <c r="D124" t="s">
        <v>6158</v>
      </c>
      <c r="E124" s="2">
        <v>4</v>
      </c>
      <c r="F124" s="2" t="str">
        <f>_xlfn.XLOOKUP(C124,Customers!$A$2:$A$1001,Customers!$B$2:$B$1001,0)</f>
        <v>Mahala Ludwell</v>
      </c>
      <c r="G124" s="2" t="str">
        <f>IF(_xlfn.XLOOKUP(C124,Customers!$A$2:$A$1001,Customers!$C$2:$C$1001)=0,"",_xlfn.XLOOKUP(C124,Customers!$A$2:$A$1001,Customers!$C$2:$C$1001))</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_xlfn.XLOOKUP(Orders[[#This Row],[Customer ID]],Customers!$A$2:$A$1001,Customers!$I$2:$I$1001,0)</f>
        <v>Yes</v>
      </c>
    </row>
    <row r="125" spans="1:16" x14ac:dyDescent="0.3">
      <c r="A125" s="2" t="s">
        <v>1180</v>
      </c>
      <c r="B125" s="3">
        <v>44724</v>
      </c>
      <c r="C125" s="2" t="s">
        <v>1181</v>
      </c>
      <c r="D125" t="s">
        <v>6164</v>
      </c>
      <c r="E125" s="2">
        <v>4</v>
      </c>
      <c r="F125" s="2" t="str">
        <f>_xlfn.XLOOKUP(C125,Customers!$A$2:$A$1001,Customers!$B$2:$B$1001,0)</f>
        <v>Doll Beauchamp</v>
      </c>
      <c r="G125" s="2" t="str">
        <f>IF(_xlfn.XLOOKUP(C125,Customers!$A$2:$A$1001,Customers!$C$2:$C$1001)=0,"",_xlfn.XLOOKUP(C125,Customers!$A$2:$A$1001,Customers!$C$2:$C$1001))</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_xlfn.XLOOKUP(Orders[[#This Row],[Customer ID]],Customers!$A$2:$A$1001,Customers!$I$2:$I$1001,0)</f>
        <v>No</v>
      </c>
    </row>
    <row r="126" spans="1:16" x14ac:dyDescent="0.3">
      <c r="A126" s="2" t="s">
        <v>1186</v>
      </c>
      <c r="B126" s="3">
        <v>43582</v>
      </c>
      <c r="C126" s="2" t="s">
        <v>1187</v>
      </c>
      <c r="D126" t="s">
        <v>6159</v>
      </c>
      <c r="E126" s="2">
        <v>5</v>
      </c>
      <c r="F126" s="2" t="str">
        <f>_xlfn.XLOOKUP(C126,Customers!$A$2:$A$1001,Customers!$B$2:$B$1001,0)</f>
        <v>Stanford Rodliff</v>
      </c>
      <c r="G126" s="2" t="str">
        <f>IF(_xlfn.XLOOKUP(C126,Customers!$A$2:$A$1001,Customers!$C$2:$C$1001)=0,"",_xlfn.XLOOKUP(C126,Customers!$A$2:$A$1001,Customers!$C$2:$C$1001))</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_xlfn.XLOOKUP(Orders[[#This Row],[Customer ID]],Customers!$A$2:$A$1001,Customers!$I$2:$I$1001,0)</f>
        <v>Yes</v>
      </c>
    </row>
    <row r="127" spans="1:16" x14ac:dyDescent="0.3">
      <c r="A127" s="2" t="s">
        <v>1192</v>
      </c>
      <c r="B127" s="3">
        <v>43608</v>
      </c>
      <c r="C127" s="2" t="s">
        <v>1193</v>
      </c>
      <c r="D127" t="s">
        <v>6160</v>
      </c>
      <c r="E127" s="2">
        <v>3</v>
      </c>
      <c r="F127" s="2" t="str">
        <f>_xlfn.XLOOKUP(C127,Customers!$A$2:$A$1001,Customers!$B$2:$B$1001,0)</f>
        <v>Stevana Woodham</v>
      </c>
      <c r="G127" s="2" t="str">
        <f>IF(_xlfn.XLOOKUP(C127,Customers!$A$2:$A$1001,Customers!$C$2:$C$1001)=0,"",_xlfn.XLOOKUP(C127,Customers!$A$2:$A$1001,Customers!$C$2:$C$1001))</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_xlfn.XLOOKUP(Orders[[#This Row],[Customer ID]],Customers!$A$2:$A$1001,Customers!$I$2:$I$1001,0)</f>
        <v>Yes</v>
      </c>
    </row>
    <row r="128" spans="1:16" x14ac:dyDescent="0.3">
      <c r="A128" s="2" t="s">
        <v>1198</v>
      </c>
      <c r="B128" s="3">
        <v>44026</v>
      </c>
      <c r="C128" s="2" t="s">
        <v>1199</v>
      </c>
      <c r="D128" t="s">
        <v>6155</v>
      </c>
      <c r="E128" s="2">
        <v>1</v>
      </c>
      <c r="F128" s="2" t="str">
        <f>_xlfn.XLOOKUP(C128,Customers!$A$2:$A$1001,Customers!$B$2:$B$1001,0)</f>
        <v>Hewet Synnot</v>
      </c>
      <c r="G128" s="2" t="str">
        <f>IF(_xlfn.XLOOKUP(C128,Customers!$A$2:$A$1001,Customers!$C$2:$C$1001)=0,"",_xlfn.XLOOKUP(C128,Customers!$A$2:$A$1001,Customers!$C$2:$C$1001))</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_xlfn.XLOOKUP(Orders[[#This Row],[Customer ID]],Customers!$A$2:$A$1001,Customers!$I$2:$I$1001,0)</f>
        <v>No</v>
      </c>
    </row>
    <row r="129" spans="1:16" x14ac:dyDescent="0.3">
      <c r="A129" s="2" t="s">
        <v>1204</v>
      </c>
      <c r="B129" s="3">
        <v>44510</v>
      </c>
      <c r="C129" s="2" t="s">
        <v>1205</v>
      </c>
      <c r="D129" t="s">
        <v>6143</v>
      </c>
      <c r="E129" s="2">
        <v>6</v>
      </c>
      <c r="F129" s="2" t="str">
        <f>_xlfn.XLOOKUP(C129,Customers!$A$2:$A$1001,Customers!$B$2:$B$1001,0)</f>
        <v>Raleigh Lepere</v>
      </c>
      <c r="G129" s="2" t="str">
        <f>IF(_xlfn.XLOOKUP(C129,Customers!$A$2:$A$1001,Customers!$C$2:$C$1001)=0,"",_xlfn.XLOOKUP(C129,Customers!$A$2:$A$1001,Customers!$C$2:$C$1001))</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_xlfn.XLOOKUP(Orders[[#This Row],[Customer ID]],Customers!$A$2:$A$1001,Customers!$I$2:$I$1001,0)</f>
        <v>No</v>
      </c>
    </row>
    <row r="130" spans="1:16" x14ac:dyDescent="0.3">
      <c r="A130" s="2" t="s">
        <v>1210</v>
      </c>
      <c r="B130" s="3">
        <v>44439</v>
      </c>
      <c r="C130" s="2" t="s">
        <v>1211</v>
      </c>
      <c r="D130" t="s">
        <v>6157</v>
      </c>
      <c r="E130" s="2">
        <v>1</v>
      </c>
      <c r="F130" s="2" t="str">
        <f>_xlfn.XLOOKUP(C130,Customers!$A$2:$A$1001,Customers!$B$2:$B$1001,0)</f>
        <v>Timofei Woofinden</v>
      </c>
      <c r="G130" s="2" t="str">
        <f>IF(_xlfn.XLOOKUP(C130,Customers!$A$2:$A$1001,Customers!$C$2:$C$1001)=0,"",_xlfn.XLOOKUP(C130,Customers!$A$2:$A$1001,Customers!$C$2:$C$1001))</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ref="M130:M193" si="6">L130*E130</f>
        <v>6.75</v>
      </c>
      <c r="N130" t="str">
        <f t="shared" ref="N130:N193" si="7">IF(I130="Rob","Robusta",IF(I130="Exc","Excelsa",IF(I130="Ara","Arabica",IF(I130="Lib","Liberica",""))))</f>
        <v>Arabica</v>
      </c>
      <c r="O130" t="str">
        <f t="shared" ref="O130:O193" si="8">IF(J130="M","Medium",IF(J130="L","Light",IF(J130="D","Dark","")))</f>
        <v>Medium</v>
      </c>
      <c r="P130" t="str">
        <f>_xlfn.XLOOKUP(Orders[[#This Row],[Customer ID]],Customers!$A$2:$A$1001,Customers!$I$2:$I$1001,0)</f>
        <v>No</v>
      </c>
    </row>
    <row r="131" spans="1:16" x14ac:dyDescent="0.3">
      <c r="A131" s="2" t="s">
        <v>1216</v>
      </c>
      <c r="B131" s="3">
        <v>43652</v>
      </c>
      <c r="C131" s="2" t="s">
        <v>1217</v>
      </c>
      <c r="D131" t="s">
        <v>6183</v>
      </c>
      <c r="E131" s="2">
        <v>1</v>
      </c>
      <c r="F131" s="2" t="str">
        <f>_xlfn.XLOOKUP(C131,Customers!$A$2:$A$1001,Customers!$B$2:$B$1001,0)</f>
        <v>Evelina Dacca</v>
      </c>
      <c r="G131" s="2" t="str">
        <f>IF(_xlfn.XLOOKUP(C131,Customers!$A$2:$A$1001,Customers!$C$2:$C$1001)=0,"",_xlfn.XLOOKUP(C131,Customers!$A$2:$A$1001,Customers!$C$2:$C$1001))</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si="6"/>
        <v>12.15</v>
      </c>
      <c r="N131" t="str">
        <f t="shared" si="7"/>
        <v>Excelsa</v>
      </c>
      <c r="O131" t="str">
        <f t="shared" si="8"/>
        <v>Dark</v>
      </c>
      <c r="P131" t="str">
        <f>_xlfn.XLOOKUP(Orders[[#This Row],[Customer ID]],Customers!$A$2:$A$1001,Customers!$I$2:$I$1001,0)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IF(_xlfn.XLOOKUP(C132,Customers!$A$2:$A$1001,Customers!$C$2:$C$1001)=0,"",_xlfn.XLOOKUP(C132,Customers!$A$2:$A$1001,Customers!$C$2:$C$1001))</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_xlfn.XLOOKUP(Orders[[#This Row],[Customer ID]],Customers!$A$2:$A$1001,Customers!$I$2:$I$1001,0)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IF(_xlfn.XLOOKUP(C133,Customers!$A$2:$A$1001,Customers!$C$2:$C$1001)=0,"",_xlfn.XLOOKUP(C133,Customers!$A$2:$A$1001,Customers!$C$2:$C$1001))</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_xlfn.XLOOKUP(Orders[[#This Row],[Customer ID]],Customers!$A$2:$A$1001,Customers!$I$2:$I$1001,0)</f>
        <v>Yes</v>
      </c>
    </row>
    <row r="134" spans="1:16" x14ac:dyDescent="0.3">
      <c r="A134" s="2" t="s">
        <v>1233</v>
      </c>
      <c r="B134" s="3">
        <v>44043</v>
      </c>
      <c r="C134" s="2" t="s">
        <v>1234</v>
      </c>
      <c r="D134" t="s">
        <v>6182</v>
      </c>
      <c r="E134" s="2">
        <v>5</v>
      </c>
      <c r="F134" s="2" t="str">
        <f>_xlfn.XLOOKUP(C134,Customers!$A$2:$A$1001,Customers!$B$2:$B$1001,0)</f>
        <v>Osbert Robins</v>
      </c>
      <c r="G134" s="2" t="str">
        <f>IF(_xlfn.XLOOKUP(C134,Customers!$A$2:$A$1001,Customers!$C$2:$C$1001)=0,"",_xlfn.XLOOKUP(C134,Customers!$A$2:$A$1001,Customers!$C$2:$C$1001))</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_xlfn.XLOOKUP(Orders[[#This Row],[Customer ID]],Customers!$A$2:$A$1001,Customers!$I$2:$I$1001,0)</f>
        <v>Yes</v>
      </c>
    </row>
    <row r="135" spans="1:16" x14ac:dyDescent="0.3">
      <c r="A135" s="2" t="s">
        <v>1239</v>
      </c>
      <c r="B135" s="3">
        <v>44340</v>
      </c>
      <c r="C135" s="2" t="s">
        <v>1240</v>
      </c>
      <c r="D135" t="s">
        <v>6143</v>
      </c>
      <c r="E135" s="2">
        <v>1</v>
      </c>
      <c r="F135" s="2" t="str">
        <f>_xlfn.XLOOKUP(C135,Customers!$A$2:$A$1001,Customers!$B$2:$B$1001,0)</f>
        <v>Othello Syseland</v>
      </c>
      <c r="G135" s="2" t="str">
        <f>IF(_xlfn.XLOOKUP(C135,Customers!$A$2:$A$1001,Customers!$C$2:$C$1001)=0,"",_xlfn.XLOOKUP(C135,Customers!$A$2:$A$1001,Customers!$C$2:$C$1001))</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_xlfn.XLOOKUP(Orders[[#This Row],[Customer ID]],Customers!$A$2:$A$1001,Customers!$I$2:$I$1001,0)</f>
        <v>No</v>
      </c>
    </row>
    <row r="136" spans="1:16" x14ac:dyDescent="0.3">
      <c r="A136" s="2" t="s">
        <v>1245</v>
      </c>
      <c r="B136" s="3">
        <v>44758</v>
      </c>
      <c r="C136" s="2" t="s">
        <v>1246</v>
      </c>
      <c r="D136" t="s">
        <v>6166</v>
      </c>
      <c r="E136" s="2">
        <v>3</v>
      </c>
      <c r="F136" s="2" t="str">
        <f>_xlfn.XLOOKUP(C136,Customers!$A$2:$A$1001,Customers!$B$2:$B$1001,0)</f>
        <v>Ewell Hanby</v>
      </c>
      <c r="G136" s="2" t="str">
        <f>IF(_xlfn.XLOOKUP(C136,Customers!$A$2:$A$1001,Customers!$C$2:$C$1001)=0,"",_xlfn.XLOOKUP(C136,Customers!$A$2:$A$1001,Customers!$C$2:$C$1001))</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_xlfn.XLOOKUP(Orders[[#This Row],[Customer ID]],Customers!$A$2:$A$1001,Customers!$I$2:$I$1001,0)</f>
        <v>Yes</v>
      </c>
    </row>
    <row r="137" spans="1:16" x14ac:dyDescent="0.3">
      <c r="A137" s="2" t="s">
        <v>1249</v>
      </c>
      <c r="B137" s="3">
        <v>44232</v>
      </c>
      <c r="C137" s="2" t="s">
        <v>976</v>
      </c>
      <c r="D137" t="s">
        <v>6180</v>
      </c>
      <c r="E137" s="2">
        <v>5</v>
      </c>
      <c r="F137" s="2" t="str">
        <f>_xlfn.XLOOKUP(C137,Customers!$A$2:$A$1001,Customers!$B$2:$B$1001,0)</f>
        <v>Blancha McAmish</v>
      </c>
      <c r="G137" s="2" t="str">
        <f>IF(_xlfn.XLOOKUP(C137,Customers!$A$2:$A$1001,Customers!$C$2:$C$1001)=0,"",_xlfn.XLOOKUP(C137,Customers!$A$2:$A$1001,Customers!$C$2:$C$1001))</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_xlfn.XLOOKUP(Orders[[#This Row],[Customer ID]],Customers!$A$2:$A$1001,Customers!$I$2:$I$1001,0)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IF(_xlfn.XLOOKUP(C138,Customers!$A$2:$A$1001,Customers!$C$2:$C$1001)=0,"",_xlfn.XLOOKUP(C138,Customers!$A$2:$A$1001,Customers!$C$2:$C$1001))</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_xlfn.XLOOKUP(Orders[[#This Row],[Customer ID]],Customers!$A$2:$A$1001,Customers!$I$2:$I$1001,0)</f>
        <v>No</v>
      </c>
    </row>
    <row r="139" spans="1:16" x14ac:dyDescent="0.3">
      <c r="A139" s="2" t="s">
        <v>1261</v>
      </c>
      <c r="B139" s="3">
        <v>44637</v>
      </c>
      <c r="C139" s="2" t="s">
        <v>1262</v>
      </c>
      <c r="D139" t="s">
        <v>6148</v>
      </c>
      <c r="E139" s="2">
        <v>3</v>
      </c>
      <c r="F139" s="2" t="str">
        <f>_xlfn.XLOOKUP(C139,Customers!$A$2:$A$1001,Customers!$B$2:$B$1001,0)</f>
        <v>Elonore Joliffe</v>
      </c>
      <c r="G139" s="2" t="str">
        <f>IF(_xlfn.XLOOKUP(C139,Customers!$A$2:$A$1001,Customers!$C$2:$C$1001)=0,"",_xlfn.XLOOKUP(C139,Customers!$A$2:$A$1001,Customers!$C$2:$C$1001))</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_xlfn.XLOOKUP(Orders[[#This Row],[Customer ID]],Customers!$A$2:$A$1001,Customers!$I$2:$I$1001,0)</f>
        <v>No</v>
      </c>
    </row>
    <row r="140" spans="1:16" x14ac:dyDescent="0.3">
      <c r="A140" s="2" t="s">
        <v>1266</v>
      </c>
      <c r="B140" s="3">
        <v>44238</v>
      </c>
      <c r="C140" s="2" t="s">
        <v>1267</v>
      </c>
      <c r="D140" t="s">
        <v>6183</v>
      </c>
      <c r="E140" s="2">
        <v>4</v>
      </c>
      <c r="F140" s="2" t="str">
        <f>_xlfn.XLOOKUP(C140,Customers!$A$2:$A$1001,Customers!$B$2:$B$1001,0)</f>
        <v>Abraham Coleman</v>
      </c>
      <c r="G140" s="2" t="str">
        <f>IF(_xlfn.XLOOKUP(C140,Customers!$A$2:$A$1001,Customers!$C$2:$C$1001)=0,"",_xlfn.XLOOKUP(C140,Customers!$A$2:$A$1001,Customers!$C$2:$C$1001))</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_xlfn.XLOOKUP(Orders[[#This Row],[Customer ID]],Customers!$A$2:$A$1001,Customers!$I$2:$I$1001,0)</f>
        <v>No</v>
      </c>
    </row>
    <row r="141" spans="1:16" x14ac:dyDescent="0.3">
      <c r="A141" s="2" t="s">
        <v>1271</v>
      </c>
      <c r="B141" s="3">
        <v>43509</v>
      </c>
      <c r="C141" s="2" t="s">
        <v>1272</v>
      </c>
      <c r="D141" t="s">
        <v>6143</v>
      </c>
      <c r="E141" s="2">
        <v>6</v>
      </c>
      <c r="F141" s="2" t="str">
        <f>_xlfn.XLOOKUP(C141,Customers!$A$2:$A$1001,Customers!$B$2:$B$1001,0)</f>
        <v>Rivy Farington</v>
      </c>
      <c r="G141" s="2" t="str">
        <f>IF(_xlfn.XLOOKUP(C141,Customers!$A$2:$A$1001,Customers!$C$2:$C$1001)=0,"",_xlfn.XLOOKUP(C141,Customers!$A$2:$A$1001,Customers!$C$2:$C$1001))</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_xlfn.XLOOKUP(Orders[[#This Row],[Customer ID]],Customers!$A$2:$A$1001,Customers!$I$2:$I$1001,0)</f>
        <v>Yes</v>
      </c>
    </row>
    <row r="142" spans="1:16" x14ac:dyDescent="0.3">
      <c r="A142" s="2" t="s">
        <v>1276</v>
      </c>
      <c r="B142" s="3">
        <v>44694</v>
      </c>
      <c r="C142" s="2" t="s">
        <v>1277</v>
      </c>
      <c r="D142" t="s">
        <v>6165</v>
      </c>
      <c r="E142" s="2">
        <v>1</v>
      </c>
      <c r="F142" s="2" t="str">
        <f>_xlfn.XLOOKUP(C142,Customers!$A$2:$A$1001,Customers!$B$2:$B$1001,0)</f>
        <v>Vallie Kundt</v>
      </c>
      <c r="G142" s="2" t="str">
        <f>IF(_xlfn.XLOOKUP(C142,Customers!$A$2:$A$1001,Customers!$C$2:$C$1001)=0,"",_xlfn.XLOOKUP(C142,Customers!$A$2:$A$1001,Customers!$C$2:$C$1001))</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_xlfn.XLOOKUP(Orders[[#This Row],[Customer ID]],Customers!$A$2:$A$1001,Customers!$I$2:$I$1001,0)</f>
        <v>Yes</v>
      </c>
    </row>
    <row r="143" spans="1:16" x14ac:dyDescent="0.3">
      <c r="A143" s="2" t="s">
        <v>1283</v>
      </c>
      <c r="B143" s="3">
        <v>43970</v>
      </c>
      <c r="C143" s="2" t="s">
        <v>1284</v>
      </c>
      <c r="D143" t="s">
        <v>6167</v>
      </c>
      <c r="E143" s="2">
        <v>4</v>
      </c>
      <c r="F143" s="2" t="str">
        <f>_xlfn.XLOOKUP(C143,Customers!$A$2:$A$1001,Customers!$B$2:$B$1001,0)</f>
        <v>Boyd Bett</v>
      </c>
      <c r="G143" s="2" t="str">
        <f>IF(_xlfn.XLOOKUP(C143,Customers!$A$2:$A$1001,Customers!$C$2:$C$1001)=0,"",_xlfn.XLOOKUP(C143,Customers!$A$2:$A$1001,Customers!$C$2:$C$1001))</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_xlfn.XLOOKUP(Orders[[#This Row],[Customer ID]],Customers!$A$2:$A$1001,Customers!$I$2:$I$1001,0)</f>
        <v>Yes</v>
      </c>
    </row>
    <row r="144" spans="1:16" x14ac:dyDescent="0.3">
      <c r="A144" s="2" t="s">
        <v>1289</v>
      </c>
      <c r="B144" s="3">
        <v>44678</v>
      </c>
      <c r="C144" s="2" t="s">
        <v>1290</v>
      </c>
      <c r="D144" t="s">
        <v>6148</v>
      </c>
      <c r="E144" s="2">
        <v>4</v>
      </c>
      <c r="F144" s="2" t="str">
        <f>_xlfn.XLOOKUP(C144,Customers!$A$2:$A$1001,Customers!$B$2:$B$1001,0)</f>
        <v>Julio Armytage</v>
      </c>
      <c r="G144" s="2" t="str">
        <f>IF(_xlfn.XLOOKUP(C144,Customers!$A$2:$A$1001,Customers!$C$2:$C$1001)=0,"",_xlfn.XLOOKUP(C144,Customers!$A$2:$A$1001,Customers!$C$2:$C$1001))</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_xlfn.XLOOKUP(Orders[[#This Row],[Customer ID]],Customers!$A$2:$A$1001,Customers!$I$2:$I$1001,0)</f>
        <v>Yes</v>
      </c>
    </row>
    <row r="145" spans="1:16" x14ac:dyDescent="0.3">
      <c r="A145" s="2" t="s">
        <v>1293</v>
      </c>
      <c r="B145" s="3">
        <v>44083</v>
      </c>
      <c r="C145" s="2" t="s">
        <v>1294</v>
      </c>
      <c r="D145" t="s">
        <v>6160</v>
      </c>
      <c r="E145" s="2">
        <v>2</v>
      </c>
      <c r="F145" s="2" t="str">
        <f>_xlfn.XLOOKUP(C145,Customers!$A$2:$A$1001,Customers!$B$2:$B$1001,0)</f>
        <v>Deana Staite</v>
      </c>
      <c r="G145" s="2" t="str">
        <f>IF(_xlfn.XLOOKUP(C145,Customers!$A$2:$A$1001,Customers!$C$2:$C$1001)=0,"",_xlfn.XLOOKUP(C145,Customers!$A$2:$A$1001,Customers!$C$2:$C$1001))</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_xlfn.XLOOKUP(Orders[[#This Row],[Customer ID]],Customers!$A$2:$A$1001,Customers!$I$2:$I$1001,0)</f>
        <v>No</v>
      </c>
    </row>
    <row r="146" spans="1:16" x14ac:dyDescent="0.3">
      <c r="A146" s="2" t="s">
        <v>1299</v>
      </c>
      <c r="B146" s="3">
        <v>44265</v>
      </c>
      <c r="C146" s="2" t="s">
        <v>1300</v>
      </c>
      <c r="D146" t="s">
        <v>6148</v>
      </c>
      <c r="E146" s="2">
        <v>2</v>
      </c>
      <c r="F146" s="2" t="str">
        <f>_xlfn.XLOOKUP(C146,Customers!$A$2:$A$1001,Customers!$B$2:$B$1001,0)</f>
        <v>Winn Keyse</v>
      </c>
      <c r="G146" s="2" t="str">
        <f>IF(_xlfn.XLOOKUP(C146,Customers!$A$2:$A$1001,Customers!$C$2:$C$1001)=0,"",_xlfn.XLOOKUP(C146,Customers!$A$2:$A$1001,Customers!$C$2:$C$1001))</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_xlfn.XLOOKUP(Orders[[#This Row],[Customer ID]],Customers!$A$2:$A$1001,Customers!$I$2:$I$1001,0)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IF(_xlfn.XLOOKUP(C147,Customers!$A$2:$A$1001,Customers!$C$2:$C$1001)=0,"",_xlfn.XLOOKUP(C147,Customers!$A$2:$A$1001,Customers!$C$2:$C$1001))</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_xlfn.XLOOKUP(Orders[[#This Row],[Customer ID]],Customers!$A$2:$A$1001,Customers!$I$2:$I$1001,0)</f>
        <v>No</v>
      </c>
    </row>
    <row r="148" spans="1:16" x14ac:dyDescent="0.3">
      <c r="A148" s="2" t="s">
        <v>1311</v>
      </c>
      <c r="B148" s="3">
        <v>44024</v>
      </c>
      <c r="C148" s="2" t="s">
        <v>1312</v>
      </c>
      <c r="D148" t="s">
        <v>6162</v>
      </c>
      <c r="E148" s="2">
        <v>3</v>
      </c>
      <c r="F148" s="2" t="str">
        <f>_xlfn.XLOOKUP(C148,Customers!$A$2:$A$1001,Customers!$B$2:$B$1001,0)</f>
        <v>Leonore Francisco</v>
      </c>
      <c r="G148" s="2" t="str">
        <f>IF(_xlfn.XLOOKUP(C148,Customers!$A$2:$A$1001,Customers!$C$2:$C$1001)=0,"",_xlfn.XLOOKUP(C148,Customers!$A$2:$A$1001,Customers!$C$2:$C$1001))</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_xlfn.XLOOKUP(Orders[[#This Row],[Customer ID]],Customers!$A$2:$A$1001,Customers!$I$2:$I$1001,0)</f>
        <v>No</v>
      </c>
    </row>
    <row r="149" spans="1:16" x14ac:dyDescent="0.3">
      <c r="A149" s="2" t="s">
        <v>1311</v>
      </c>
      <c r="B149" s="3">
        <v>44024</v>
      </c>
      <c r="C149" s="2" t="s">
        <v>1312</v>
      </c>
      <c r="D149" t="s">
        <v>6141</v>
      </c>
      <c r="E149" s="2">
        <v>2</v>
      </c>
      <c r="F149" s="2" t="str">
        <f>_xlfn.XLOOKUP(C149,Customers!$A$2:$A$1001,Customers!$B$2:$B$1001,0)</f>
        <v>Leonore Francisco</v>
      </c>
      <c r="G149" s="2" t="str">
        <f>IF(_xlfn.XLOOKUP(C149,Customers!$A$2:$A$1001,Customers!$C$2:$C$1001)=0,"",_xlfn.XLOOKUP(C149,Customers!$A$2:$A$1001,Customers!$C$2:$C$1001))</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_xlfn.XLOOKUP(Orders[[#This Row],[Customer ID]],Customers!$A$2:$A$1001,Customers!$I$2:$I$1001,0)</f>
        <v>No</v>
      </c>
    </row>
    <row r="150" spans="1:16" x14ac:dyDescent="0.3">
      <c r="A150" s="2" t="s">
        <v>1322</v>
      </c>
      <c r="B150" s="3">
        <v>44551</v>
      </c>
      <c r="C150" s="2" t="s">
        <v>1323</v>
      </c>
      <c r="D150" t="s">
        <v>6153</v>
      </c>
      <c r="E150" s="2">
        <v>5</v>
      </c>
      <c r="F150" s="2" t="str">
        <f>_xlfn.XLOOKUP(C150,Customers!$A$2:$A$1001,Customers!$B$2:$B$1001,0)</f>
        <v>Giacobo Skingle</v>
      </c>
      <c r="G150" s="2" t="str">
        <f>IF(_xlfn.XLOOKUP(C150,Customers!$A$2:$A$1001,Customers!$C$2:$C$1001)=0,"",_xlfn.XLOOKUP(C150,Customers!$A$2:$A$1001,Customers!$C$2:$C$1001))</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_xlfn.XLOOKUP(Orders[[#This Row],[Customer ID]],Customers!$A$2:$A$1001,Customers!$I$2:$I$1001,0)</f>
        <v>Yes</v>
      </c>
    </row>
    <row r="151" spans="1:16" x14ac:dyDescent="0.3">
      <c r="A151" s="2" t="s">
        <v>1328</v>
      </c>
      <c r="B151" s="3">
        <v>44108</v>
      </c>
      <c r="C151" s="2" t="s">
        <v>1329</v>
      </c>
      <c r="D151" t="s">
        <v>6175</v>
      </c>
      <c r="E151" s="2">
        <v>2</v>
      </c>
      <c r="F151" s="2" t="str">
        <f>_xlfn.XLOOKUP(C151,Customers!$A$2:$A$1001,Customers!$B$2:$B$1001,0)</f>
        <v>Gerard Pirdy</v>
      </c>
      <c r="G151" s="2" t="str">
        <f>IF(_xlfn.XLOOKUP(C151,Customers!$A$2:$A$1001,Customers!$C$2:$C$1001)=0,"",_xlfn.XLOOKUP(C151,Customers!$A$2:$A$1001,Customers!$C$2:$C$1001))</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_xlfn.XLOOKUP(Orders[[#This Row],[Customer ID]],Customers!$A$2:$A$1001,Customers!$I$2:$I$1001,0)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IF(_xlfn.XLOOKUP(C152,Customers!$A$2:$A$1001,Customers!$C$2:$C$1001)=0,"",_xlfn.XLOOKUP(C152,Customers!$A$2:$A$1001,Customers!$C$2:$C$1001))</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_xlfn.XLOOKUP(Orders[[#This Row],[Customer ID]],Customers!$A$2:$A$1001,Customers!$I$2:$I$1001,0)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IF(_xlfn.XLOOKUP(C153,Customers!$A$2:$A$1001,Customers!$C$2:$C$1001)=0,"",_xlfn.XLOOKUP(C153,Customers!$A$2:$A$1001,Customers!$C$2:$C$1001))</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_xlfn.XLOOKUP(Orders[[#This Row],[Customer ID]],Customers!$A$2:$A$1001,Customers!$I$2:$I$1001,0)</f>
        <v>Yes</v>
      </c>
    </row>
    <row r="154" spans="1:16" x14ac:dyDescent="0.3">
      <c r="A154" s="2" t="s">
        <v>1344</v>
      </c>
      <c r="B154" s="3">
        <v>44510</v>
      </c>
      <c r="C154" s="2" t="s">
        <v>1345</v>
      </c>
      <c r="D154" t="s">
        <v>6151</v>
      </c>
      <c r="E154" s="2">
        <v>3</v>
      </c>
      <c r="F154" s="2" t="str">
        <f>_xlfn.XLOOKUP(C154,Customers!$A$2:$A$1001,Customers!$B$2:$B$1001,0)</f>
        <v>Bettina Leffek</v>
      </c>
      <c r="G154" s="2" t="str">
        <f>IF(_xlfn.XLOOKUP(C154,Customers!$A$2:$A$1001,Customers!$C$2:$C$1001)=0,"",_xlfn.XLOOKUP(C154,Customers!$A$2:$A$1001,Customers!$C$2:$C$1001))</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_xlfn.XLOOKUP(Orders[[#This Row],[Customer ID]],Customers!$A$2:$A$1001,Customers!$I$2:$I$1001,0)</f>
        <v>Yes</v>
      </c>
    </row>
    <row r="155" spans="1:16" x14ac:dyDescent="0.3">
      <c r="A155" s="2" t="s">
        <v>1350</v>
      </c>
      <c r="B155" s="3">
        <v>44367</v>
      </c>
      <c r="C155" s="2" t="s">
        <v>1351</v>
      </c>
      <c r="D155" t="s">
        <v>6163</v>
      </c>
      <c r="E155" s="2">
        <v>1</v>
      </c>
      <c r="F155" s="2" t="str">
        <f>_xlfn.XLOOKUP(C155,Customers!$A$2:$A$1001,Customers!$B$2:$B$1001,0)</f>
        <v>Hetti Penson</v>
      </c>
      <c r="G155" s="2" t="str">
        <f>IF(_xlfn.XLOOKUP(C155,Customers!$A$2:$A$1001,Customers!$C$2:$C$1001)=0,"",_xlfn.XLOOKUP(C155,Customers!$A$2:$A$1001,Customers!$C$2:$C$1001))</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_xlfn.XLOOKUP(Orders[[#This Row],[Customer ID]],Customers!$A$2:$A$1001,Customers!$I$2:$I$1001,0)</f>
        <v>No</v>
      </c>
    </row>
    <row r="156" spans="1:16" x14ac:dyDescent="0.3">
      <c r="A156" s="2" t="s">
        <v>1355</v>
      </c>
      <c r="B156" s="3">
        <v>44473</v>
      </c>
      <c r="C156" s="2" t="s">
        <v>1356</v>
      </c>
      <c r="D156" t="s">
        <v>6168</v>
      </c>
      <c r="E156" s="2">
        <v>5</v>
      </c>
      <c r="F156" s="2" t="str">
        <f>_xlfn.XLOOKUP(C156,Customers!$A$2:$A$1001,Customers!$B$2:$B$1001,0)</f>
        <v>Jocko Pray</v>
      </c>
      <c r="G156" s="2" t="str">
        <f>IF(_xlfn.XLOOKUP(C156,Customers!$A$2:$A$1001,Customers!$C$2:$C$1001)=0,"",_xlfn.XLOOKUP(C156,Customers!$A$2:$A$1001,Customers!$C$2:$C$1001))</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_xlfn.XLOOKUP(Orders[[#This Row],[Customer ID]],Customers!$A$2:$A$1001,Customers!$I$2:$I$1001,0)</f>
        <v>No</v>
      </c>
    </row>
    <row r="157" spans="1:16" x14ac:dyDescent="0.3">
      <c r="A157" s="2" t="s">
        <v>1361</v>
      </c>
      <c r="B157" s="3">
        <v>43640</v>
      </c>
      <c r="C157" s="2" t="s">
        <v>1362</v>
      </c>
      <c r="D157" t="s">
        <v>6175</v>
      </c>
      <c r="E157" s="2">
        <v>6</v>
      </c>
      <c r="F157" s="2" t="str">
        <f>_xlfn.XLOOKUP(C157,Customers!$A$2:$A$1001,Customers!$B$2:$B$1001,0)</f>
        <v>Grete Holborn</v>
      </c>
      <c r="G157" s="2" t="str">
        <f>IF(_xlfn.XLOOKUP(C157,Customers!$A$2:$A$1001,Customers!$C$2:$C$1001)=0,"",_xlfn.XLOOKUP(C157,Customers!$A$2:$A$1001,Customers!$C$2:$C$1001))</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_xlfn.XLOOKUP(Orders[[#This Row],[Customer ID]],Customers!$A$2:$A$1001,Customers!$I$2:$I$1001,0)</f>
        <v>Yes</v>
      </c>
    </row>
    <row r="158" spans="1:16" x14ac:dyDescent="0.3">
      <c r="A158" s="2" t="s">
        <v>1367</v>
      </c>
      <c r="B158" s="3">
        <v>43764</v>
      </c>
      <c r="C158" s="2" t="s">
        <v>1368</v>
      </c>
      <c r="D158" t="s">
        <v>6175</v>
      </c>
      <c r="E158" s="2">
        <v>3</v>
      </c>
      <c r="F158" s="2" t="str">
        <f>_xlfn.XLOOKUP(C158,Customers!$A$2:$A$1001,Customers!$B$2:$B$1001,0)</f>
        <v>Fielding Keinrat</v>
      </c>
      <c r="G158" s="2" t="str">
        <f>IF(_xlfn.XLOOKUP(C158,Customers!$A$2:$A$1001,Customers!$C$2:$C$1001)=0,"",_xlfn.XLOOKUP(C158,Customers!$A$2:$A$1001,Customers!$C$2:$C$1001))</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_xlfn.XLOOKUP(Orders[[#This Row],[Customer ID]],Customers!$A$2:$A$1001,Customers!$I$2:$I$1001,0)</f>
        <v>Yes</v>
      </c>
    </row>
    <row r="159" spans="1:16" x14ac:dyDescent="0.3">
      <c r="A159" s="2" t="s">
        <v>1373</v>
      </c>
      <c r="B159" s="3">
        <v>44374</v>
      </c>
      <c r="C159" s="2" t="s">
        <v>1374</v>
      </c>
      <c r="D159" t="s">
        <v>6149</v>
      </c>
      <c r="E159" s="2">
        <v>3</v>
      </c>
      <c r="F159" s="2" t="str">
        <f>_xlfn.XLOOKUP(C159,Customers!$A$2:$A$1001,Customers!$B$2:$B$1001,0)</f>
        <v>Paulo Yea</v>
      </c>
      <c r="G159" s="2" t="str">
        <f>IF(_xlfn.XLOOKUP(C159,Customers!$A$2:$A$1001,Customers!$C$2:$C$1001)=0,"",_xlfn.XLOOKUP(C159,Customers!$A$2:$A$1001,Customers!$C$2:$C$1001))</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_xlfn.XLOOKUP(Orders[[#This Row],[Customer ID]],Customers!$A$2:$A$1001,Customers!$I$2:$I$1001,0)</f>
        <v>No</v>
      </c>
    </row>
    <row r="160" spans="1:16" x14ac:dyDescent="0.3">
      <c r="A160" s="2" t="s">
        <v>1379</v>
      </c>
      <c r="B160" s="3">
        <v>43714</v>
      </c>
      <c r="C160" s="2" t="s">
        <v>1380</v>
      </c>
      <c r="D160" t="s">
        <v>6149</v>
      </c>
      <c r="E160" s="2">
        <v>6</v>
      </c>
      <c r="F160" s="2" t="str">
        <f>_xlfn.XLOOKUP(C160,Customers!$A$2:$A$1001,Customers!$B$2:$B$1001,0)</f>
        <v>Say Risborough</v>
      </c>
      <c r="G160" s="2" t="str">
        <f>IF(_xlfn.XLOOKUP(C160,Customers!$A$2:$A$1001,Customers!$C$2:$C$1001)=0,"",_xlfn.XLOOKUP(C160,Customers!$A$2:$A$1001,Customers!$C$2:$C$1001))</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_xlfn.XLOOKUP(Orders[[#This Row],[Customer ID]],Customers!$A$2:$A$1001,Customers!$I$2:$I$1001,0)</f>
        <v>Yes</v>
      </c>
    </row>
    <row r="161" spans="1:16" x14ac:dyDescent="0.3">
      <c r="A161" s="2" t="s">
        <v>1384</v>
      </c>
      <c r="B161" s="3">
        <v>44316</v>
      </c>
      <c r="C161" s="2" t="s">
        <v>1385</v>
      </c>
      <c r="D161" t="s">
        <v>6164</v>
      </c>
      <c r="E161" s="2">
        <v>6</v>
      </c>
      <c r="F161" s="2" t="str">
        <f>_xlfn.XLOOKUP(C161,Customers!$A$2:$A$1001,Customers!$B$2:$B$1001,0)</f>
        <v>Alexa Sizey</v>
      </c>
      <c r="G161" s="2" t="str">
        <f>IF(_xlfn.XLOOKUP(C161,Customers!$A$2:$A$1001,Customers!$C$2:$C$1001)=0,"",_xlfn.XLOOKUP(C161,Customers!$A$2:$A$1001,Customers!$C$2:$C$1001))</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_xlfn.XLOOKUP(Orders[[#This Row],[Customer ID]],Customers!$A$2:$A$1001,Customers!$I$2:$I$1001,0)</f>
        <v>No</v>
      </c>
    </row>
    <row r="162" spans="1:16" x14ac:dyDescent="0.3">
      <c r="A162" s="2" t="s">
        <v>1389</v>
      </c>
      <c r="B162" s="3">
        <v>43837</v>
      </c>
      <c r="C162" s="2" t="s">
        <v>1390</v>
      </c>
      <c r="D162" t="s">
        <v>6139</v>
      </c>
      <c r="E162" s="2">
        <v>4</v>
      </c>
      <c r="F162" s="2" t="str">
        <f>_xlfn.XLOOKUP(C162,Customers!$A$2:$A$1001,Customers!$B$2:$B$1001,0)</f>
        <v>Kari Swede</v>
      </c>
      <c r="G162" s="2" t="str">
        <f>IF(_xlfn.XLOOKUP(C162,Customers!$A$2:$A$1001,Customers!$C$2:$C$1001)=0,"",_xlfn.XLOOKUP(C162,Customers!$A$2:$A$1001,Customers!$C$2:$C$1001))</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_xlfn.XLOOKUP(Orders[[#This Row],[Customer ID]],Customers!$A$2:$A$1001,Customers!$I$2:$I$1001,0)</f>
        <v>No</v>
      </c>
    </row>
    <row r="163" spans="1:16" x14ac:dyDescent="0.3">
      <c r="A163" s="2" t="s">
        <v>1395</v>
      </c>
      <c r="B163" s="3">
        <v>44207</v>
      </c>
      <c r="C163" s="2" t="s">
        <v>1396</v>
      </c>
      <c r="D163" t="s">
        <v>6180</v>
      </c>
      <c r="E163" s="2">
        <v>3</v>
      </c>
      <c r="F163" s="2" t="str">
        <f>_xlfn.XLOOKUP(C163,Customers!$A$2:$A$1001,Customers!$B$2:$B$1001,0)</f>
        <v>Leontine Rubrow</v>
      </c>
      <c r="G163" s="2" t="str">
        <f>IF(_xlfn.XLOOKUP(C163,Customers!$A$2:$A$1001,Customers!$C$2:$C$1001)=0,"",_xlfn.XLOOKUP(C163,Customers!$A$2:$A$1001,Customers!$C$2:$C$1001))</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_xlfn.XLOOKUP(Orders[[#This Row],[Customer ID]],Customers!$A$2:$A$1001,Customers!$I$2:$I$1001,0)</f>
        <v>No</v>
      </c>
    </row>
    <row r="164" spans="1:16" x14ac:dyDescent="0.3">
      <c r="A164" s="2" t="s">
        <v>1401</v>
      </c>
      <c r="B164" s="3">
        <v>44515</v>
      </c>
      <c r="C164" s="2" t="s">
        <v>1402</v>
      </c>
      <c r="D164" t="s">
        <v>6144</v>
      </c>
      <c r="E164" s="2">
        <v>3</v>
      </c>
      <c r="F164" s="2" t="str">
        <f>_xlfn.XLOOKUP(C164,Customers!$A$2:$A$1001,Customers!$B$2:$B$1001,0)</f>
        <v>Dottie Tift</v>
      </c>
      <c r="G164" s="2" t="str">
        <f>IF(_xlfn.XLOOKUP(C164,Customers!$A$2:$A$1001,Customers!$C$2:$C$1001)=0,"",_xlfn.XLOOKUP(C164,Customers!$A$2:$A$1001,Customers!$C$2:$C$1001))</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_xlfn.XLOOKUP(Orders[[#This Row],[Customer ID]],Customers!$A$2:$A$1001,Customers!$I$2:$I$1001,0)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IF(_xlfn.XLOOKUP(C165,Customers!$A$2:$A$1001,Customers!$C$2:$C$1001)=0,"",_xlfn.XLOOKUP(C165,Customers!$A$2:$A$1001,Customers!$C$2:$C$1001))</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_xlfn.XLOOKUP(Orders[[#This Row],[Customer ID]],Customers!$A$2:$A$1001,Customers!$I$2:$I$1001,0)</f>
        <v>No</v>
      </c>
    </row>
    <row r="166" spans="1:16" x14ac:dyDescent="0.3">
      <c r="A166" s="2" t="s">
        <v>1413</v>
      </c>
      <c r="B166" s="3">
        <v>44182</v>
      </c>
      <c r="C166" s="2" t="s">
        <v>1414</v>
      </c>
      <c r="D166" t="s">
        <v>6144</v>
      </c>
      <c r="E166" s="2">
        <v>4</v>
      </c>
      <c r="F166" s="2" t="str">
        <f>_xlfn.XLOOKUP(C166,Customers!$A$2:$A$1001,Customers!$B$2:$B$1001,0)</f>
        <v>Claiborne Feye</v>
      </c>
      <c r="G166" s="2" t="str">
        <f>IF(_xlfn.XLOOKUP(C166,Customers!$A$2:$A$1001,Customers!$C$2:$C$1001)=0,"",_xlfn.XLOOKUP(C166,Customers!$A$2:$A$1001,Customers!$C$2:$C$1001))</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_xlfn.XLOOKUP(Orders[[#This Row],[Customer ID]],Customers!$A$2:$A$1001,Customers!$I$2:$I$1001,0)</f>
        <v>No</v>
      </c>
    </row>
    <row r="167" spans="1:16" x14ac:dyDescent="0.3">
      <c r="A167" s="2" t="s">
        <v>1420</v>
      </c>
      <c r="B167" s="3">
        <v>44234</v>
      </c>
      <c r="C167" s="2" t="s">
        <v>1421</v>
      </c>
      <c r="D167" t="s">
        <v>6177</v>
      </c>
      <c r="E167" s="2">
        <v>6</v>
      </c>
      <c r="F167" s="2" t="str">
        <f>_xlfn.XLOOKUP(C167,Customers!$A$2:$A$1001,Customers!$B$2:$B$1001,0)</f>
        <v>Mina Elstone</v>
      </c>
      <c r="G167" s="2" t="str">
        <f>IF(_xlfn.XLOOKUP(C167,Customers!$A$2:$A$1001,Customers!$C$2:$C$1001)=0,"",_xlfn.XLOOKUP(C167,Customers!$A$2:$A$1001,Customers!$C$2:$C$1001))</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_xlfn.XLOOKUP(Orders[[#This Row],[Customer ID]],Customers!$A$2:$A$1001,Customers!$I$2:$I$1001,0)</f>
        <v>Yes</v>
      </c>
    </row>
    <row r="168" spans="1:16" x14ac:dyDescent="0.3">
      <c r="A168" s="2" t="s">
        <v>1425</v>
      </c>
      <c r="B168" s="3">
        <v>44270</v>
      </c>
      <c r="C168" s="2" t="s">
        <v>1426</v>
      </c>
      <c r="D168" t="s">
        <v>6172</v>
      </c>
      <c r="E168" s="2">
        <v>5</v>
      </c>
      <c r="F168" s="2" t="str">
        <f>_xlfn.XLOOKUP(C168,Customers!$A$2:$A$1001,Customers!$B$2:$B$1001,0)</f>
        <v>Sherman Mewrcik</v>
      </c>
      <c r="G168" s="2" t="str">
        <f>IF(_xlfn.XLOOKUP(C168,Customers!$A$2:$A$1001,Customers!$C$2:$C$1001)=0,"",_xlfn.XLOOKUP(C168,Customers!$A$2:$A$1001,Customers!$C$2:$C$1001))</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_xlfn.XLOOKUP(Orders[[#This Row],[Customer ID]],Customers!$A$2:$A$1001,Customers!$I$2:$I$1001,0)</f>
        <v>Yes</v>
      </c>
    </row>
    <row r="169" spans="1:16" x14ac:dyDescent="0.3">
      <c r="A169" s="2" t="s">
        <v>1430</v>
      </c>
      <c r="B169" s="3">
        <v>44777</v>
      </c>
      <c r="C169" s="2" t="s">
        <v>1431</v>
      </c>
      <c r="D169" t="s">
        <v>6139</v>
      </c>
      <c r="E169" s="2">
        <v>5</v>
      </c>
      <c r="F169" s="2" t="str">
        <f>_xlfn.XLOOKUP(C169,Customers!$A$2:$A$1001,Customers!$B$2:$B$1001,0)</f>
        <v>Tamarah Fero</v>
      </c>
      <c r="G169" s="2" t="str">
        <f>IF(_xlfn.XLOOKUP(C169,Customers!$A$2:$A$1001,Customers!$C$2:$C$1001)=0,"",_xlfn.XLOOKUP(C169,Customers!$A$2:$A$1001,Customers!$C$2:$C$1001))</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_xlfn.XLOOKUP(Orders[[#This Row],[Customer ID]],Customers!$A$2:$A$1001,Customers!$I$2:$I$1001,0)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IF(_xlfn.XLOOKUP(C170,Customers!$A$2:$A$1001,Customers!$C$2:$C$1001)=0,"",_xlfn.XLOOKUP(C170,Customers!$A$2:$A$1001,Customers!$C$2:$C$1001))</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_xlfn.XLOOKUP(Orders[[#This Row],[Customer ID]],Customers!$A$2:$A$1001,Customers!$I$2:$I$1001,0)</f>
        <v>No</v>
      </c>
    </row>
    <row r="171" spans="1:16" x14ac:dyDescent="0.3">
      <c r="A171" s="2" t="s">
        <v>1441</v>
      </c>
      <c r="B171" s="3">
        <v>44643</v>
      </c>
      <c r="C171" s="2" t="s">
        <v>1442</v>
      </c>
      <c r="D171" t="s">
        <v>6177</v>
      </c>
      <c r="E171" s="2">
        <v>2</v>
      </c>
      <c r="F171" s="2" t="str">
        <f>_xlfn.XLOOKUP(C171,Customers!$A$2:$A$1001,Customers!$B$2:$B$1001,0)</f>
        <v>Felita Dauney</v>
      </c>
      <c r="G171" s="2" t="str">
        <f>IF(_xlfn.XLOOKUP(C171,Customers!$A$2:$A$1001,Customers!$C$2:$C$1001)=0,"",_xlfn.XLOOKUP(C171,Customers!$A$2:$A$1001,Customers!$C$2:$C$1001))</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_xlfn.XLOOKUP(Orders[[#This Row],[Customer ID]],Customers!$A$2:$A$1001,Customers!$I$2:$I$1001,0)</f>
        <v>No</v>
      </c>
    </row>
    <row r="172" spans="1:16" x14ac:dyDescent="0.3">
      <c r="A172" s="2" t="s">
        <v>1448</v>
      </c>
      <c r="B172" s="3">
        <v>44476</v>
      </c>
      <c r="C172" s="2" t="s">
        <v>1449</v>
      </c>
      <c r="D172" t="s">
        <v>6148</v>
      </c>
      <c r="E172" s="2">
        <v>2</v>
      </c>
      <c r="F172" s="2" t="str">
        <f>_xlfn.XLOOKUP(C172,Customers!$A$2:$A$1001,Customers!$B$2:$B$1001,0)</f>
        <v>Serena Earley</v>
      </c>
      <c r="G172" s="2" t="str">
        <f>IF(_xlfn.XLOOKUP(C172,Customers!$A$2:$A$1001,Customers!$C$2:$C$1001)=0,"",_xlfn.XLOOKUP(C172,Customers!$A$2:$A$1001,Customers!$C$2:$C$1001))</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_xlfn.XLOOKUP(Orders[[#This Row],[Customer ID]],Customers!$A$2:$A$1001,Customers!$I$2:$I$1001,0)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IF(_xlfn.XLOOKUP(C173,Customers!$A$2:$A$1001,Customers!$C$2:$C$1001)=0,"",_xlfn.XLOOKUP(C173,Customers!$A$2:$A$1001,Customers!$C$2:$C$1001))</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_xlfn.XLOOKUP(Orders[[#This Row],[Customer ID]],Customers!$A$2:$A$1001,Customers!$I$2:$I$1001,0)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IF(_xlfn.XLOOKUP(C174,Customers!$A$2:$A$1001,Customers!$C$2:$C$1001)=0,"",_xlfn.XLOOKUP(C174,Customers!$A$2:$A$1001,Customers!$C$2:$C$1001))</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_xlfn.XLOOKUP(Orders[[#This Row],[Customer ID]],Customers!$A$2:$A$1001,Customers!$I$2:$I$1001,0)</f>
        <v>No</v>
      </c>
    </row>
    <row r="175" spans="1:16" x14ac:dyDescent="0.3">
      <c r="A175" s="2" t="s">
        <v>1464</v>
      </c>
      <c r="B175" s="3">
        <v>44720</v>
      </c>
      <c r="C175" s="2" t="s">
        <v>1465</v>
      </c>
      <c r="D175" t="s">
        <v>6151</v>
      </c>
      <c r="E175" s="2">
        <v>4</v>
      </c>
      <c r="F175" s="2" t="str">
        <f>_xlfn.XLOOKUP(C175,Customers!$A$2:$A$1001,Customers!$B$2:$B$1001,0)</f>
        <v>Oran Colbeck</v>
      </c>
      <c r="G175" s="2" t="str">
        <f>IF(_xlfn.XLOOKUP(C175,Customers!$A$2:$A$1001,Customers!$C$2:$C$1001)=0,"",_xlfn.XLOOKUP(C175,Customers!$A$2:$A$1001,Customers!$C$2:$C$1001))</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_xlfn.XLOOKUP(Orders[[#This Row],[Customer ID]],Customers!$A$2:$A$1001,Customers!$I$2:$I$1001,0)</f>
        <v>No</v>
      </c>
    </row>
    <row r="176" spans="1:16" x14ac:dyDescent="0.3">
      <c r="A176" s="2" t="s">
        <v>1470</v>
      </c>
      <c r="B176" s="3">
        <v>43813</v>
      </c>
      <c r="C176" s="2" t="s">
        <v>1471</v>
      </c>
      <c r="D176" t="s">
        <v>6148</v>
      </c>
      <c r="E176" s="2">
        <v>6</v>
      </c>
      <c r="F176" s="2" t="str">
        <f>_xlfn.XLOOKUP(C176,Customers!$A$2:$A$1001,Customers!$B$2:$B$1001,0)</f>
        <v>Elysee Sketch</v>
      </c>
      <c r="G176" s="2" t="str">
        <f>IF(_xlfn.XLOOKUP(C176,Customers!$A$2:$A$1001,Customers!$C$2:$C$1001)=0,"",_xlfn.XLOOKUP(C176,Customers!$A$2:$A$1001,Customers!$C$2:$C$1001))</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_xlfn.XLOOKUP(Orders[[#This Row],[Customer ID]],Customers!$A$2:$A$1001,Customers!$I$2:$I$1001,0)</f>
        <v>Yes</v>
      </c>
    </row>
    <row r="177" spans="1:16" x14ac:dyDescent="0.3">
      <c r="A177" s="2" t="s">
        <v>1475</v>
      </c>
      <c r="B177" s="3">
        <v>44296</v>
      </c>
      <c r="C177" s="2" t="s">
        <v>1476</v>
      </c>
      <c r="D177" t="s">
        <v>6166</v>
      </c>
      <c r="E177" s="2">
        <v>2</v>
      </c>
      <c r="F177" s="2" t="str">
        <f>_xlfn.XLOOKUP(C177,Customers!$A$2:$A$1001,Customers!$B$2:$B$1001,0)</f>
        <v>Ethelda Hobbing</v>
      </c>
      <c r="G177" s="2" t="str">
        <f>IF(_xlfn.XLOOKUP(C177,Customers!$A$2:$A$1001,Customers!$C$2:$C$1001)=0,"",_xlfn.XLOOKUP(C177,Customers!$A$2:$A$1001,Customers!$C$2:$C$1001))</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_xlfn.XLOOKUP(Orders[[#This Row],[Customer ID]],Customers!$A$2:$A$1001,Customers!$I$2:$I$1001,0)</f>
        <v>Yes</v>
      </c>
    </row>
    <row r="178" spans="1:16" x14ac:dyDescent="0.3">
      <c r="A178" s="2" t="s">
        <v>1481</v>
      </c>
      <c r="B178" s="3">
        <v>43900</v>
      </c>
      <c r="C178" s="2" t="s">
        <v>1482</v>
      </c>
      <c r="D178" t="s">
        <v>6148</v>
      </c>
      <c r="E178" s="2">
        <v>1</v>
      </c>
      <c r="F178" s="2" t="str">
        <f>_xlfn.XLOOKUP(C178,Customers!$A$2:$A$1001,Customers!$B$2:$B$1001,0)</f>
        <v>Odille Thynne</v>
      </c>
      <c r="G178" s="2" t="str">
        <f>IF(_xlfn.XLOOKUP(C178,Customers!$A$2:$A$1001,Customers!$C$2:$C$1001)=0,"",_xlfn.XLOOKUP(C178,Customers!$A$2:$A$1001,Customers!$C$2:$C$1001))</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_xlfn.XLOOKUP(Orders[[#This Row],[Customer ID]],Customers!$A$2:$A$1001,Customers!$I$2:$I$1001,0)</f>
        <v>Yes</v>
      </c>
    </row>
    <row r="179" spans="1:16" x14ac:dyDescent="0.3">
      <c r="A179" s="2" t="s">
        <v>1487</v>
      </c>
      <c r="B179" s="3">
        <v>44120</v>
      </c>
      <c r="C179" s="2" t="s">
        <v>1488</v>
      </c>
      <c r="D179" t="s">
        <v>6142</v>
      </c>
      <c r="E179" s="2">
        <v>4</v>
      </c>
      <c r="F179" s="2" t="str">
        <f>_xlfn.XLOOKUP(C179,Customers!$A$2:$A$1001,Customers!$B$2:$B$1001,0)</f>
        <v>Emlynne Heining</v>
      </c>
      <c r="G179" s="2" t="str">
        <f>IF(_xlfn.XLOOKUP(C179,Customers!$A$2:$A$1001,Customers!$C$2:$C$1001)=0,"",_xlfn.XLOOKUP(C179,Customers!$A$2:$A$1001,Customers!$C$2:$C$1001))</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_xlfn.XLOOKUP(Orders[[#This Row],[Customer ID]],Customers!$A$2:$A$1001,Customers!$I$2:$I$1001,0)</f>
        <v>Yes</v>
      </c>
    </row>
    <row r="180" spans="1:16" x14ac:dyDescent="0.3">
      <c r="A180" s="2" t="s">
        <v>1492</v>
      </c>
      <c r="B180" s="3">
        <v>43746</v>
      </c>
      <c r="C180" s="2" t="s">
        <v>1493</v>
      </c>
      <c r="D180" t="s">
        <v>6140</v>
      </c>
      <c r="E180" s="2">
        <v>2</v>
      </c>
      <c r="F180" s="2" t="str">
        <f>_xlfn.XLOOKUP(C180,Customers!$A$2:$A$1001,Customers!$B$2:$B$1001,0)</f>
        <v>Katerina Melloi</v>
      </c>
      <c r="G180" s="2" t="str">
        <f>IF(_xlfn.XLOOKUP(C180,Customers!$A$2:$A$1001,Customers!$C$2:$C$1001)=0,"",_xlfn.XLOOKUP(C180,Customers!$A$2:$A$1001,Customers!$C$2:$C$1001))</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_xlfn.XLOOKUP(Orders[[#This Row],[Customer ID]],Customers!$A$2:$A$1001,Customers!$I$2:$I$1001,0)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IF(_xlfn.XLOOKUP(C181,Customers!$A$2:$A$1001,Customers!$C$2:$C$1001)=0,"",_xlfn.XLOOKUP(C181,Customers!$A$2:$A$1001,Customers!$C$2:$C$1001))</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_xlfn.XLOOKUP(Orders[[#This Row],[Customer ID]],Customers!$A$2:$A$1001,Customers!$I$2:$I$1001,0)</f>
        <v>No</v>
      </c>
    </row>
    <row r="182" spans="1:16" x14ac:dyDescent="0.3">
      <c r="A182" s="2" t="s">
        <v>1503</v>
      </c>
      <c r="B182" s="3">
        <v>43910</v>
      </c>
      <c r="C182" s="2" t="s">
        <v>1504</v>
      </c>
      <c r="D182" t="s">
        <v>6184</v>
      </c>
      <c r="E182" s="2">
        <v>5</v>
      </c>
      <c r="F182" s="2" t="str">
        <f>_xlfn.XLOOKUP(C182,Customers!$A$2:$A$1001,Customers!$B$2:$B$1001,0)</f>
        <v>Abrahan Mussen</v>
      </c>
      <c r="G182" s="2" t="str">
        <f>IF(_xlfn.XLOOKUP(C182,Customers!$A$2:$A$1001,Customers!$C$2:$C$1001)=0,"",_xlfn.XLOOKUP(C182,Customers!$A$2:$A$1001,Customers!$C$2:$C$1001))</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_xlfn.XLOOKUP(Orders[[#This Row],[Customer ID]],Customers!$A$2:$A$1001,Customers!$I$2:$I$1001,0)</f>
        <v>No</v>
      </c>
    </row>
    <row r="183" spans="1:16" x14ac:dyDescent="0.3">
      <c r="A183" s="2" t="s">
        <v>1503</v>
      </c>
      <c r="B183" s="3">
        <v>43910</v>
      </c>
      <c r="C183" s="2" t="s">
        <v>1504</v>
      </c>
      <c r="D183" t="s">
        <v>6158</v>
      </c>
      <c r="E183" s="2">
        <v>5</v>
      </c>
      <c r="F183" s="2" t="str">
        <f>_xlfn.XLOOKUP(C183,Customers!$A$2:$A$1001,Customers!$B$2:$B$1001,0)</f>
        <v>Abrahan Mussen</v>
      </c>
      <c r="G183" s="2" t="str">
        <f>IF(_xlfn.XLOOKUP(C183,Customers!$A$2:$A$1001,Customers!$C$2:$C$1001)=0,"",_xlfn.XLOOKUP(C183,Customers!$A$2:$A$1001,Customers!$C$2:$C$1001))</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_xlfn.XLOOKUP(Orders[[#This Row],[Customer ID]],Customers!$A$2:$A$1001,Customers!$I$2:$I$1001,0)</f>
        <v>No</v>
      </c>
    </row>
    <row r="184" spans="1:16" x14ac:dyDescent="0.3">
      <c r="A184" s="2" t="s">
        <v>1514</v>
      </c>
      <c r="B184" s="3">
        <v>44284</v>
      </c>
      <c r="C184" s="2" t="s">
        <v>1515</v>
      </c>
      <c r="D184" t="s">
        <v>6172</v>
      </c>
      <c r="E184" s="2">
        <v>6</v>
      </c>
      <c r="F184" s="2" t="str">
        <f>_xlfn.XLOOKUP(C184,Customers!$A$2:$A$1001,Customers!$B$2:$B$1001,0)</f>
        <v>Anny Mundford</v>
      </c>
      <c r="G184" s="2" t="str">
        <f>IF(_xlfn.XLOOKUP(C184,Customers!$A$2:$A$1001,Customers!$C$2:$C$1001)=0,"",_xlfn.XLOOKUP(C184,Customers!$A$2:$A$1001,Customers!$C$2:$C$1001))</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_xlfn.XLOOKUP(Orders[[#This Row],[Customer ID]],Customers!$A$2:$A$1001,Customers!$I$2:$I$1001,0)</f>
        <v>No</v>
      </c>
    </row>
    <row r="185" spans="1:16" x14ac:dyDescent="0.3">
      <c r="A185" s="2" t="s">
        <v>1520</v>
      </c>
      <c r="B185" s="3">
        <v>44512</v>
      </c>
      <c r="C185" s="2" t="s">
        <v>1521</v>
      </c>
      <c r="D185" t="s">
        <v>6156</v>
      </c>
      <c r="E185" s="2">
        <v>2</v>
      </c>
      <c r="F185" s="2" t="str">
        <f>_xlfn.XLOOKUP(C185,Customers!$A$2:$A$1001,Customers!$B$2:$B$1001,0)</f>
        <v>Tory Walas</v>
      </c>
      <c r="G185" s="2" t="str">
        <f>IF(_xlfn.XLOOKUP(C185,Customers!$A$2:$A$1001,Customers!$C$2:$C$1001)=0,"",_xlfn.XLOOKUP(C185,Customers!$A$2:$A$1001,Customers!$C$2:$C$1001))</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_xlfn.XLOOKUP(Orders[[#This Row],[Customer ID]],Customers!$A$2:$A$1001,Customers!$I$2:$I$1001,0)</f>
        <v>No</v>
      </c>
    </row>
    <row r="186" spans="1:16" x14ac:dyDescent="0.3">
      <c r="A186" s="2" t="s">
        <v>1526</v>
      </c>
      <c r="B186" s="3">
        <v>44397</v>
      </c>
      <c r="C186" s="2" t="s">
        <v>1527</v>
      </c>
      <c r="D186" t="s">
        <v>6180</v>
      </c>
      <c r="E186" s="2">
        <v>4</v>
      </c>
      <c r="F186" s="2" t="str">
        <f>_xlfn.XLOOKUP(C186,Customers!$A$2:$A$1001,Customers!$B$2:$B$1001,0)</f>
        <v>Isa Blazewicz</v>
      </c>
      <c r="G186" s="2" t="str">
        <f>IF(_xlfn.XLOOKUP(C186,Customers!$A$2:$A$1001,Customers!$C$2:$C$1001)=0,"",_xlfn.XLOOKUP(C186,Customers!$A$2:$A$1001,Customers!$C$2:$C$1001))</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_xlfn.XLOOKUP(Orders[[#This Row],[Customer ID]],Customers!$A$2:$A$1001,Customers!$I$2:$I$1001,0)</f>
        <v>No</v>
      </c>
    </row>
    <row r="187" spans="1:16" x14ac:dyDescent="0.3">
      <c r="A187" s="2" t="s">
        <v>1532</v>
      </c>
      <c r="B187" s="3">
        <v>43483</v>
      </c>
      <c r="C187" s="2" t="s">
        <v>1533</v>
      </c>
      <c r="D187" t="s">
        <v>6144</v>
      </c>
      <c r="E187" s="2">
        <v>5</v>
      </c>
      <c r="F187" s="2" t="str">
        <f>_xlfn.XLOOKUP(C187,Customers!$A$2:$A$1001,Customers!$B$2:$B$1001,0)</f>
        <v>Angie Rizzetti</v>
      </c>
      <c r="G187" s="2" t="str">
        <f>IF(_xlfn.XLOOKUP(C187,Customers!$A$2:$A$1001,Customers!$C$2:$C$1001)=0,"",_xlfn.XLOOKUP(C187,Customers!$A$2:$A$1001,Customers!$C$2:$C$1001))</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_xlfn.XLOOKUP(Orders[[#This Row],[Customer ID]],Customers!$A$2:$A$1001,Customers!$I$2:$I$1001,0)</f>
        <v>Yes</v>
      </c>
    </row>
    <row r="188" spans="1:16" x14ac:dyDescent="0.3">
      <c r="A188" s="2" t="s">
        <v>1538</v>
      </c>
      <c r="B188" s="3">
        <v>43684</v>
      </c>
      <c r="C188" s="2" t="s">
        <v>1539</v>
      </c>
      <c r="D188" t="s">
        <v>6151</v>
      </c>
      <c r="E188" s="2">
        <v>3</v>
      </c>
      <c r="F188" s="2" t="str">
        <f>_xlfn.XLOOKUP(C188,Customers!$A$2:$A$1001,Customers!$B$2:$B$1001,0)</f>
        <v>Mord Meriet</v>
      </c>
      <c r="G188" s="2" t="str">
        <f>IF(_xlfn.XLOOKUP(C188,Customers!$A$2:$A$1001,Customers!$C$2:$C$1001)=0,"",_xlfn.XLOOKUP(C188,Customers!$A$2:$A$1001,Customers!$C$2:$C$1001))</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_xlfn.XLOOKUP(Orders[[#This Row],[Customer ID]],Customers!$A$2:$A$1001,Customers!$I$2:$I$1001,0)</f>
        <v>No</v>
      </c>
    </row>
    <row r="189" spans="1:16" x14ac:dyDescent="0.3">
      <c r="A189" s="2" t="s">
        <v>1544</v>
      </c>
      <c r="B189" s="3">
        <v>44633</v>
      </c>
      <c r="C189" s="2" t="s">
        <v>1545</v>
      </c>
      <c r="D189" t="s">
        <v>6160</v>
      </c>
      <c r="E189" s="2">
        <v>5</v>
      </c>
      <c r="F189" s="2" t="str">
        <f>_xlfn.XLOOKUP(C189,Customers!$A$2:$A$1001,Customers!$B$2:$B$1001,0)</f>
        <v>Lawrence Pratt</v>
      </c>
      <c r="G189" s="2" t="str">
        <f>IF(_xlfn.XLOOKUP(C189,Customers!$A$2:$A$1001,Customers!$C$2:$C$1001)=0,"",_xlfn.XLOOKUP(C189,Customers!$A$2:$A$1001,Customers!$C$2:$C$1001))</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_xlfn.XLOOKUP(Orders[[#This Row],[Customer ID]],Customers!$A$2:$A$1001,Customers!$I$2:$I$1001,0)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IF(_xlfn.XLOOKUP(C190,Customers!$A$2:$A$1001,Customers!$C$2:$C$1001)=0,"",_xlfn.XLOOKUP(C190,Customers!$A$2:$A$1001,Customers!$C$2:$C$1001))</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_xlfn.XLOOKUP(Orders[[#This Row],[Customer ID]],Customers!$A$2:$A$1001,Customers!$I$2:$I$1001,0)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IF(_xlfn.XLOOKUP(C191,Customers!$A$2:$A$1001,Customers!$C$2:$C$1001)=0,"",_xlfn.XLOOKUP(C191,Customers!$A$2:$A$1001,Customers!$C$2:$C$1001))</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_xlfn.XLOOKUP(Orders[[#This Row],[Customer ID]],Customers!$A$2:$A$1001,Customers!$I$2:$I$1001,0)</f>
        <v>Yes</v>
      </c>
    </row>
    <row r="192" spans="1:16" x14ac:dyDescent="0.3">
      <c r="A192" s="2" t="s">
        <v>1561</v>
      </c>
      <c r="B192" s="3">
        <v>43845</v>
      </c>
      <c r="C192" s="2" t="s">
        <v>1562</v>
      </c>
      <c r="D192" t="s">
        <v>6181</v>
      </c>
      <c r="E192" s="2">
        <v>1</v>
      </c>
      <c r="F192" s="2" t="str">
        <f>_xlfn.XLOOKUP(C192,Customers!$A$2:$A$1001,Customers!$B$2:$B$1001,0)</f>
        <v>Madelene Prinn</v>
      </c>
      <c r="G192" s="2" t="str">
        <f>IF(_xlfn.XLOOKUP(C192,Customers!$A$2:$A$1001,Customers!$C$2:$C$1001)=0,"",_xlfn.XLOOKUP(C192,Customers!$A$2:$A$1001,Customers!$C$2:$C$1001))</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_xlfn.XLOOKUP(Orders[[#This Row],[Customer ID]],Customers!$A$2:$A$1001,Customers!$I$2:$I$1001,0)</f>
        <v>Yes</v>
      </c>
    </row>
    <row r="193" spans="1:16" x14ac:dyDescent="0.3">
      <c r="A193" s="2" t="s">
        <v>1567</v>
      </c>
      <c r="B193" s="3">
        <v>43567</v>
      </c>
      <c r="C193" s="2" t="s">
        <v>1568</v>
      </c>
      <c r="D193" t="s">
        <v>6150</v>
      </c>
      <c r="E193" s="2">
        <v>5</v>
      </c>
      <c r="F193" s="2" t="str">
        <f>_xlfn.XLOOKUP(C193,Customers!$A$2:$A$1001,Customers!$B$2:$B$1001,0)</f>
        <v>Alisun Baudino</v>
      </c>
      <c r="G193" s="2" t="str">
        <f>IF(_xlfn.XLOOKUP(C193,Customers!$A$2:$A$1001,Customers!$C$2:$C$1001)=0,"",_xlfn.XLOOKUP(C193,Customers!$A$2:$A$1001,Customers!$C$2:$C$1001))</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_xlfn.XLOOKUP(Orders[[#This Row],[Customer ID]],Customers!$A$2:$A$1001,Customers!$I$2:$I$1001,0)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IF(_xlfn.XLOOKUP(C194,Customers!$A$2:$A$1001,Customers!$C$2:$C$1001)=0,"",_xlfn.XLOOKUP(C194,Customers!$A$2:$A$1001,Customers!$C$2:$C$1001))</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ref="M194:M257" si="9">L194*E194</f>
        <v>72.900000000000006</v>
      </c>
      <c r="N194" t="str">
        <f t="shared" ref="N194:N257" si="10">IF(I194="Rob","Robusta",IF(I194="Exc","Excelsa",IF(I194="Ara","Arabica",IF(I194="Lib","Liberica",""))))</f>
        <v>Excelsa</v>
      </c>
      <c r="O194" t="str">
        <f t="shared" ref="O194:O257" si="11">IF(J194="M","Medium",IF(J194="L","Light",IF(J194="D","Dark","")))</f>
        <v>Dark</v>
      </c>
      <c r="P194" t="str">
        <f>_xlfn.XLOOKUP(Orders[[#This Row],[Customer ID]],Customers!$A$2:$A$1001,Customers!$I$2:$I$1001,0)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IF(_xlfn.XLOOKUP(C195,Customers!$A$2:$A$1001,Customers!$C$2:$C$1001)=0,"",_xlfn.XLOOKUP(C195,Customers!$A$2:$A$1001,Customers!$C$2:$C$1001))</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si="9"/>
        <v>44.55</v>
      </c>
      <c r="N195" t="str">
        <f t="shared" si="10"/>
        <v>Excelsa</v>
      </c>
      <c r="O195" t="str">
        <f t="shared" si="11"/>
        <v>Light</v>
      </c>
      <c r="P195" t="str">
        <f>_xlfn.XLOOKUP(Orders[[#This Row],[Customer ID]],Customers!$A$2:$A$1001,Customers!$I$2:$I$1001,0)</f>
        <v>No</v>
      </c>
    </row>
    <row r="196" spans="1:16" x14ac:dyDescent="0.3">
      <c r="A196" s="2" t="s">
        <v>1584</v>
      </c>
      <c r="B196" s="3">
        <v>44398</v>
      </c>
      <c r="C196" s="2" t="s">
        <v>1585</v>
      </c>
      <c r="D196" t="s">
        <v>6144</v>
      </c>
      <c r="E196" s="2">
        <v>5</v>
      </c>
      <c r="F196" s="2" t="str">
        <f>_xlfn.XLOOKUP(C196,Customers!$A$2:$A$1001,Customers!$B$2:$B$1001,0)</f>
        <v>Emlynne Laird</v>
      </c>
      <c r="G196" s="2" t="str">
        <f>IF(_xlfn.XLOOKUP(C196,Customers!$A$2:$A$1001,Customers!$C$2:$C$1001)=0,"",_xlfn.XLOOKUP(C196,Customers!$A$2:$A$1001,Customers!$C$2:$C$1001))</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_xlfn.XLOOKUP(Orders[[#This Row],[Customer ID]],Customers!$A$2:$A$1001,Customers!$I$2:$I$1001,0)</f>
        <v>No</v>
      </c>
    </row>
    <row r="197" spans="1:16" x14ac:dyDescent="0.3">
      <c r="A197" s="2" t="s">
        <v>1590</v>
      </c>
      <c r="B197" s="3">
        <v>43683</v>
      </c>
      <c r="C197" s="2" t="s">
        <v>1591</v>
      </c>
      <c r="D197" t="s">
        <v>6140</v>
      </c>
      <c r="E197" s="2">
        <v>3</v>
      </c>
      <c r="F197" s="2" t="str">
        <f>_xlfn.XLOOKUP(C197,Customers!$A$2:$A$1001,Customers!$B$2:$B$1001,0)</f>
        <v>Marlena Howsden</v>
      </c>
      <c r="G197" s="2" t="str">
        <f>IF(_xlfn.XLOOKUP(C197,Customers!$A$2:$A$1001,Customers!$C$2:$C$1001)=0,"",_xlfn.XLOOKUP(C197,Customers!$A$2:$A$1001,Customers!$C$2:$C$1001))</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_xlfn.XLOOKUP(Orders[[#This Row],[Customer ID]],Customers!$A$2:$A$1001,Customers!$I$2:$I$1001,0)</f>
        <v>No</v>
      </c>
    </row>
    <row r="198" spans="1:16" x14ac:dyDescent="0.3">
      <c r="A198" s="2" t="s">
        <v>1596</v>
      </c>
      <c r="B198" s="3">
        <v>44339</v>
      </c>
      <c r="C198" s="2" t="s">
        <v>1597</v>
      </c>
      <c r="D198" t="s">
        <v>6176</v>
      </c>
      <c r="E198" s="2">
        <v>6</v>
      </c>
      <c r="F198" s="2" t="str">
        <f>_xlfn.XLOOKUP(C198,Customers!$A$2:$A$1001,Customers!$B$2:$B$1001,0)</f>
        <v>Nealson Cuttler</v>
      </c>
      <c r="G198" s="2" t="str">
        <f>IF(_xlfn.XLOOKUP(C198,Customers!$A$2:$A$1001,Customers!$C$2:$C$1001)=0,"",_xlfn.XLOOKUP(C198,Customers!$A$2:$A$1001,Customers!$C$2:$C$1001))</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_xlfn.XLOOKUP(Orders[[#This Row],[Customer ID]],Customers!$A$2:$A$1001,Customers!$I$2:$I$1001,0)</f>
        <v>No</v>
      </c>
    </row>
    <row r="199" spans="1:16" x14ac:dyDescent="0.3">
      <c r="A199" s="2" t="s">
        <v>1596</v>
      </c>
      <c r="B199" s="3">
        <v>44339</v>
      </c>
      <c r="C199" s="2" t="s">
        <v>1597</v>
      </c>
      <c r="D199" t="s">
        <v>6165</v>
      </c>
      <c r="E199" s="2">
        <v>2</v>
      </c>
      <c r="F199" s="2" t="str">
        <f>_xlfn.XLOOKUP(C199,Customers!$A$2:$A$1001,Customers!$B$2:$B$1001,0)</f>
        <v>Nealson Cuttler</v>
      </c>
      <c r="G199" s="2" t="str">
        <f>IF(_xlfn.XLOOKUP(C199,Customers!$A$2:$A$1001,Customers!$C$2:$C$1001)=0,"",_xlfn.XLOOKUP(C199,Customers!$A$2:$A$1001,Customers!$C$2:$C$1001))</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_xlfn.XLOOKUP(Orders[[#This Row],[Customer ID]],Customers!$A$2:$A$1001,Customers!$I$2:$I$1001,0)</f>
        <v>No</v>
      </c>
    </row>
    <row r="200" spans="1:16" x14ac:dyDescent="0.3">
      <c r="A200" s="2" t="s">
        <v>1596</v>
      </c>
      <c r="B200" s="3">
        <v>44339</v>
      </c>
      <c r="C200" s="2" t="s">
        <v>1597</v>
      </c>
      <c r="D200" t="s">
        <v>6165</v>
      </c>
      <c r="E200" s="2">
        <v>3</v>
      </c>
      <c r="F200" s="2" t="str">
        <f>_xlfn.XLOOKUP(C200,Customers!$A$2:$A$1001,Customers!$B$2:$B$1001,0)</f>
        <v>Nealson Cuttler</v>
      </c>
      <c r="G200" s="2" t="str">
        <f>IF(_xlfn.XLOOKUP(C200,Customers!$A$2:$A$1001,Customers!$C$2:$C$1001)=0,"",_xlfn.XLOOKUP(C200,Customers!$A$2:$A$1001,Customers!$C$2:$C$1001))</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_xlfn.XLOOKUP(Orders[[#This Row],[Customer ID]],Customers!$A$2:$A$1001,Customers!$I$2:$I$1001,0)</f>
        <v>No</v>
      </c>
    </row>
    <row r="201" spans="1:16" x14ac:dyDescent="0.3">
      <c r="A201" s="2" t="s">
        <v>1596</v>
      </c>
      <c r="B201" s="3">
        <v>44339</v>
      </c>
      <c r="C201" s="2" t="s">
        <v>1597</v>
      </c>
      <c r="D201" t="s">
        <v>6161</v>
      </c>
      <c r="E201" s="2">
        <v>4</v>
      </c>
      <c r="F201" s="2" t="str">
        <f>_xlfn.XLOOKUP(C201,Customers!$A$2:$A$1001,Customers!$B$2:$B$1001,0)</f>
        <v>Nealson Cuttler</v>
      </c>
      <c r="G201" s="2" t="str">
        <f>IF(_xlfn.XLOOKUP(C201,Customers!$A$2:$A$1001,Customers!$C$2:$C$1001)=0,"",_xlfn.XLOOKUP(C201,Customers!$A$2:$A$1001,Customers!$C$2:$C$1001))</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_xlfn.XLOOKUP(Orders[[#This Row],[Customer ID]],Customers!$A$2:$A$1001,Customers!$I$2:$I$1001,0)</f>
        <v>No</v>
      </c>
    </row>
    <row r="202" spans="1:16" x14ac:dyDescent="0.3">
      <c r="A202" s="2" t="s">
        <v>1596</v>
      </c>
      <c r="B202" s="3">
        <v>44339</v>
      </c>
      <c r="C202" s="2" t="s">
        <v>1597</v>
      </c>
      <c r="D202" t="s">
        <v>6141</v>
      </c>
      <c r="E202" s="2">
        <v>3</v>
      </c>
      <c r="F202" s="2" t="str">
        <f>_xlfn.XLOOKUP(C202,Customers!$A$2:$A$1001,Customers!$B$2:$B$1001,0)</f>
        <v>Nealson Cuttler</v>
      </c>
      <c r="G202" s="2" t="str">
        <f>IF(_xlfn.XLOOKUP(C202,Customers!$A$2:$A$1001,Customers!$C$2:$C$1001)=0,"",_xlfn.XLOOKUP(C202,Customers!$A$2:$A$1001,Customers!$C$2:$C$1001))</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_xlfn.XLOOKUP(Orders[[#This Row],[Customer ID]],Customers!$A$2:$A$1001,Customers!$I$2:$I$1001,0)</f>
        <v>No</v>
      </c>
    </row>
    <row r="203" spans="1:16" x14ac:dyDescent="0.3">
      <c r="A203" s="2" t="s">
        <v>1621</v>
      </c>
      <c r="B203" s="3">
        <v>44294</v>
      </c>
      <c r="C203" s="2" t="s">
        <v>1622</v>
      </c>
      <c r="D203" t="s">
        <v>6161</v>
      </c>
      <c r="E203" s="2">
        <v>6</v>
      </c>
      <c r="F203" s="2" t="str">
        <f>_xlfn.XLOOKUP(C203,Customers!$A$2:$A$1001,Customers!$B$2:$B$1001,0)</f>
        <v>Adriana Lazarus</v>
      </c>
      <c r="G203" s="2" t="str">
        <f>IF(_xlfn.XLOOKUP(C203,Customers!$A$2:$A$1001,Customers!$C$2:$C$1001)=0,"",_xlfn.XLOOKUP(C203,Customers!$A$2:$A$1001,Customers!$C$2:$C$1001))</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_xlfn.XLOOKUP(Orders[[#This Row],[Customer ID]],Customers!$A$2:$A$1001,Customers!$I$2:$I$1001,0)</f>
        <v>No</v>
      </c>
    </row>
    <row r="204" spans="1:16" x14ac:dyDescent="0.3">
      <c r="A204" s="2" t="s">
        <v>1626</v>
      </c>
      <c r="B204" s="3">
        <v>44486</v>
      </c>
      <c r="C204" s="2" t="s">
        <v>1627</v>
      </c>
      <c r="D204" t="s">
        <v>6165</v>
      </c>
      <c r="E204" s="2">
        <v>6</v>
      </c>
      <c r="F204" s="2" t="str">
        <f>_xlfn.XLOOKUP(C204,Customers!$A$2:$A$1001,Customers!$B$2:$B$1001,0)</f>
        <v>Tallie felip</v>
      </c>
      <c r="G204" s="2" t="str">
        <f>IF(_xlfn.XLOOKUP(C204,Customers!$A$2:$A$1001,Customers!$C$2:$C$1001)=0,"",_xlfn.XLOOKUP(C204,Customers!$A$2:$A$1001,Customers!$C$2:$C$1001))</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_xlfn.XLOOKUP(Orders[[#This Row],[Customer ID]],Customers!$A$2:$A$1001,Customers!$I$2:$I$1001,0)</f>
        <v>Yes</v>
      </c>
    </row>
    <row r="205" spans="1:16" x14ac:dyDescent="0.3">
      <c r="A205" s="2" t="s">
        <v>1632</v>
      </c>
      <c r="B205" s="3">
        <v>44608</v>
      </c>
      <c r="C205" s="2" t="s">
        <v>1633</v>
      </c>
      <c r="D205" t="s">
        <v>6145</v>
      </c>
      <c r="E205" s="2">
        <v>1</v>
      </c>
      <c r="F205" s="2" t="str">
        <f>_xlfn.XLOOKUP(C205,Customers!$A$2:$A$1001,Customers!$B$2:$B$1001,0)</f>
        <v>Vanna Le - Count</v>
      </c>
      <c r="G205" s="2" t="str">
        <f>IF(_xlfn.XLOOKUP(C205,Customers!$A$2:$A$1001,Customers!$C$2:$C$1001)=0,"",_xlfn.XLOOKUP(C205,Customers!$A$2:$A$1001,Customers!$C$2:$C$1001))</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_xlfn.XLOOKUP(Orders[[#This Row],[Customer ID]],Customers!$A$2:$A$1001,Customers!$I$2:$I$1001,0)</f>
        <v>No</v>
      </c>
    </row>
    <row r="206" spans="1:16" x14ac:dyDescent="0.3">
      <c r="A206" s="2" t="s">
        <v>1638</v>
      </c>
      <c r="B206" s="3">
        <v>44027</v>
      </c>
      <c r="C206" s="2" t="s">
        <v>1639</v>
      </c>
      <c r="D206" t="s">
        <v>6141</v>
      </c>
      <c r="E206" s="2">
        <v>6</v>
      </c>
      <c r="F206" s="2" t="str">
        <f>_xlfn.XLOOKUP(C206,Customers!$A$2:$A$1001,Customers!$B$2:$B$1001,0)</f>
        <v>Sarette Ducarel</v>
      </c>
      <c r="G206" s="2" t="str">
        <f>IF(_xlfn.XLOOKUP(C206,Customers!$A$2:$A$1001,Customers!$C$2:$C$1001)=0,"",_xlfn.XLOOKUP(C206,Customers!$A$2:$A$1001,Customers!$C$2:$C$1001))</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_xlfn.XLOOKUP(Orders[[#This Row],[Customer ID]],Customers!$A$2:$A$1001,Customers!$I$2:$I$1001,0)</f>
        <v>No</v>
      </c>
    </row>
    <row r="207" spans="1:16" x14ac:dyDescent="0.3">
      <c r="A207" s="2" t="s">
        <v>1643</v>
      </c>
      <c r="B207" s="3">
        <v>43883</v>
      </c>
      <c r="C207" s="2" t="s">
        <v>1644</v>
      </c>
      <c r="D207" t="s">
        <v>6163</v>
      </c>
      <c r="E207" s="2">
        <v>3</v>
      </c>
      <c r="F207" s="2" t="str">
        <f>_xlfn.XLOOKUP(C207,Customers!$A$2:$A$1001,Customers!$B$2:$B$1001,0)</f>
        <v>Kendra Glison</v>
      </c>
      <c r="G207" s="2" t="str">
        <f>IF(_xlfn.XLOOKUP(C207,Customers!$A$2:$A$1001,Customers!$C$2:$C$1001)=0,"",_xlfn.XLOOKUP(C207,Customers!$A$2:$A$1001,Customers!$C$2:$C$1001))</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_xlfn.XLOOKUP(Orders[[#This Row],[Customer ID]],Customers!$A$2:$A$1001,Customers!$I$2:$I$1001,0)</f>
        <v>Yes</v>
      </c>
    </row>
    <row r="208" spans="1:16" x14ac:dyDescent="0.3">
      <c r="A208" s="2" t="s">
        <v>1648</v>
      </c>
      <c r="B208" s="3">
        <v>44211</v>
      </c>
      <c r="C208" s="2" t="s">
        <v>1649</v>
      </c>
      <c r="D208" t="s">
        <v>6155</v>
      </c>
      <c r="E208" s="2">
        <v>2</v>
      </c>
      <c r="F208" s="2" t="str">
        <f>_xlfn.XLOOKUP(C208,Customers!$A$2:$A$1001,Customers!$B$2:$B$1001,0)</f>
        <v>Nertie Poolman</v>
      </c>
      <c r="G208" s="2" t="str">
        <f>IF(_xlfn.XLOOKUP(C208,Customers!$A$2:$A$1001,Customers!$C$2:$C$1001)=0,"",_xlfn.XLOOKUP(C208,Customers!$A$2:$A$1001,Customers!$C$2:$C$1001))</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_xlfn.XLOOKUP(Orders[[#This Row],[Customer ID]],Customers!$A$2:$A$1001,Customers!$I$2:$I$1001,0)</f>
        <v>No</v>
      </c>
    </row>
    <row r="209" spans="1:16" x14ac:dyDescent="0.3">
      <c r="A209" s="2" t="s">
        <v>1653</v>
      </c>
      <c r="B209" s="3">
        <v>44207</v>
      </c>
      <c r="C209" s="2" t="s">
        <v>1654</v>
      </c>
      <c r="D209" t="s">
        <v>6157</v>
      </c>
      <c r="E209" s="2">
        <v>6</v>
      </c>
      <c r="F209" s="2" t="str">
        <f>_xlfn.XLOOKUP(C209,Customers!$A$2:$A$1001,Customers!$B$2:$B$1001,0)</f>
        <v>Orbadiah Duny</v>
      </c>
      <c r="G209" s="2" t="str">
        <f>IF(_xlfn.XLOOKUP(C209,Customers!$A$2:$A$1001,Customers!$C$2:$C$1001)=0,"",_xlfn.XLOOKUP(C209,Customers!$A$2:$A$1001,Customers!$C$2:$C$1001))</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_xlfn.XLOOKUP(Orders[[#This Row],[Customer ID]],Customers!$A$2:$A$1001,Customers!$I$2:$I$1001,0)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IF(_xlfn.XLOOKUP(C210,Customers!$A$2:$A$1001,Customers!$C$2:$C$1001)=0,"",_xlfn.XLOOKUP(C210,Customers!$A$2:$A$1001,Customers!$C$2:$C$1001))</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_xlfn.XLOOKUP(Orders[[#This Row],[Customer ID]],Customers!$A$2:$A$1001,Customers!$I$2:$I$1001,0)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IF(_xlfn.XLOOKUP(C211,Customers!$A$2:$A$1001,Customers!$C$2:$C$1001)=0,"",_xlfn.XLOOKUP(C211,Customers!$A$2:$A$1001,Customers!$C$2:$C$1001))</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_xlfn.XLOOKUP(Orders[[#This Row],[Customer ID]],Customers!$A$2:$A$1001,Customers!$I$2:$I$1001,0)</f>
        <v>No</v>
      </c>
    </row>
    <row r="212" spans="1:16" x14ac:dyDescent="0.3">
      <c r="A212" s="2" t="s">
        <v>1671</v>
      </c>
      <c r="B212" s="3">
        <v>43766</v>
      </c>
      <c r="C212" s="2" t="s">
        <v>1672</v>
      </c>
      <c r="D212" t="s">
        <v>6143</v>
      </c>
      <c r="E212" s="2">
        <v>4</v>
      </c>
      <c r="F212" s="2" t="str">
        <f>_xlfn.XLOOKUP(C212,Customers!$A$2:$A$1001,Customers!$B$2:$B$1001,0)</f>
        <v>Anselma Attwater</v>
      </c>
      <c r="G212" s="2" t="str">
        <f>IF(_xlfn.XLOOKUP(C212,Customers!$A$2:$A$1001,Customers!$C$2:$C$1001)=0,"",_xlfn.XLOOKUP(C212,Customers!$A$2:$A$1001,Customers!$C$2:$C$1001))</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_xlfn.XLOOKUP(Orders[[#This Row],[Customer ID]],Customers!$A$2:$A$1001,Customers!$I$2:$I$1001,0)</f>
        <v>Yes</v>
      </c>
    </row>
    <row r="213" spans="1:16" x14ac:dyDescent="0.3">
      <c r="A213" s="2" t="s">
        <v>1677</v>
      </c>
      <c r="B213" s="3">
        <v>44283</v>
      </c>
      <c r="C213" s="2" t="s">
        <v>1678</v>
      </c>
      <c r="D213" t="s">
        <v>6176</v>
      </c>
      <c r="E213" s="2">
        <v>6</v>
      </c>
      <c r="F213" s="2" t="str">
        <f>_xlfn.XLOOKUP(C213,Customers!$A$2:$A$1001,Customers!$B$2:$B$1001,0)</f>
        <v>Minette Whellans</v>
      </c>
      <c r="G213" s="2" t="str">
        <f>IF(_xlfn.XLOOKUP(C213,Customers!$A$2:$A$1001,Customers!$C$2:$C$1001)=0,"",_xlfn.XLOOKUP(C213,Customers!$A$2:$A$1001,Customers!$C$2:$C$1001))</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_xlfn.XLOOKUP(Orders[[#This Row],[Customer ID]],Customers!$A$2:$A$1001,Customers!$I$2:$I$1001,0)</f>
        <v>No</v>
      </c>
    </row>
    <row r="214" spans="1:16" x14ac:dyDescent="0.3">
      <c r="A214" s="2" t="s">
        <v>1682</v>
      </c>
      <c r="B214" s="3">
        <v>43921</v>
      </c>
      <c r="C214" s="2" t="s">
        <v>1683</v>
      </c>
      <c r="D214" t="s">
        <v>6153</v>
      </c>
      <c r="E214" s="2">
        <v>4</v>
      </c>
      <c r="F214" s="2" t="str">
        <f>_xlfn.XLOOKUP(C214,Customers!$A$2:$A$1001,Customers!$B$2:$B$1001,0)</f>
        <v>Dael Camilletti</v>
      </c>
      <c r="G214" s="2" t="str">
        <f>IF(_xlfn.XLOOKUP(C214,Customers!$A$2:$A$1001,Customers!$C$2:$C$1001)=0,"",_xlfn.XLOOKUP(C214,Customers!$A$2:$A$1001,Customers!$C$2:$C$1001))</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_xlfn.XLOOKUP(Orders[[#This Row],[Customer ID]],Customers!$A$2:$A$1001,Customers!$I$2:$I$1001,0)</f>
        <v>Yes</v>
      </c>
    </row>
    <row r="215" spans="1:16" x14ac:dyDescent="0.3">
      <c r="A215" s="2" t="s">
        <v>1688</v>
      </c>
      <c r="B215" s="3">
        <v>44646</v>
      </c>
      <c r="C215" s="2" t="s">
        <v>1689</v>
      </c>
      <c r="D215" t="s">
        <v>6149</v>
      </c>
      <c r="E215" s="2">
        <v>1</v>
      </c>
      <c r="F215" s="2" t="str">
        <f>_xlfn.XLOOKUP(C215,Customers!$A$2:$A$1001,Customers!$B$2:$B$1001,0)</f>
        <v>Emiline Galgey</v>
      </c>
      <c r="G215" s="2" t="str">
        <f>IF(_xlfn.XLOOKUP(C215,Customers!$A$2:$A$1001,Customers!$C$2:$C$1001)=0,"",_xlfn.XLOOKUP(C215,Customers!$A$2:$A$1001,Customers!$C$2:$C$1001))</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_xlfn.XLOOKUP(Orders[[#This Row],[Customer ID]],Customers!$A$2:$A$1001,Customers!$I$2:$I$1001,0)</f>
        <v>No</v>
      </c>
    </row>
    <row r="216" spans="1:16" x14ac:dyDescent="0.3">
      <c r="A216" s="2" t="s">
        <v>1694</v>
      </c>
      <c r="B216" s="3">
        <v>43775</v>
      </c>
      <c r="C216" s="2" t="s">
        <v>1695</v>
      </c>
      <c r="D216" t="s">
        <v>6170</v>
      </c>
      <c r="E216" s="2">
        <v>2</v>
      </c>
      <c r="F216" s="2" t="str">
        <f>_xlfn.XLOOKUP(C216,Customers!$A$2:$A$1001,Customers!$B$2:$B$1001,0)</f>
        <v>Murdock Hame</v>
      </c>
      <c r="G216" s="2" t="str">
        <f>IF(_xlfn.XLOOKUP(C216,Customers!$A$2:$A$1001,Customers!$C$2:$C$1001)=0,"",_xlfn.XLOOKUP(C216,Customers!$A$2:$A$1001,Customers!$C$2:$C$1001))</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_xlfn.XLOOKUP(Orders[[#This Row],[Customer ID]],Customers!$A$2:$A$1001,Customers!$I$2:$I$1001,0)</f>
        <v>No</v>
      </c>
    </row>
    <row r="217" spans="1:16" x14ac:dyDescent="0.3">
      <c r="A217" s="2" t="s">
        <v>1701</v>
      </c>
      <c r="B217" s="3">
        <v>43829</v>
      </c>
      <c r="C217" s="2" t="s">
        <v>1702</v>
      </c>
      <c r="D217" t="s">
        <v>6150</v>
      </c>
      <c r="E217" s="2">
        <v>6</v>
      </c>
      <c r="F217" s="2" t="str">
        <f>_xlfn.XLOOKUP(C217,Customers!$A$2:$A$1001,Customers!$B$2:$B$1001,0)</f>
        <v>Ilka Gurnee</v>
      </c>
      <c r="G217" s="2" t="str">
        <f>IF(_xlfn.XLOOKUP(C217,Customers!$A$2:$A$1001,Customers!$C$2:$C$1001)=0,"",_xlfn.XLOOKUP(C217,Customers!$A$2:$A$1001,Customers!$C$2:$C$1001))</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_xlfn.XLOOKUP(Orders[[#This Row],[Customer ID]],Customers!$A$2:$A$1001,Customers!$I$2:$I$1001,0)</f>
        <v>No</v>
      </c>
    </row>
    <row r="218" spans="1:16" x14ac:dyDescent="0.3">
      <c r="A218" s="2" t="s">
        <v>1707</v>
      </c>
      <c r="B218" s="3">
        <v>44470</v>
      </c>
      <c r="C218" s="2" t="s">
        <v>1708</v>
      </c>
      <c r="D218" t="s">
        <v>6162</v>
      </c>
      <c r="E218" s="2">
        <v>4</v>
      </c>
      <c r="F218" s="2" t="str">
        <f>_xlfn.XLOOKUP(C218,Customers!$A$2:$A$1001,Customers!$B$2:$B$1001,0)</f>
        <v>Alfy Snowding</v>
      </c>
      <c r="G218" s="2" t="str">
        <f>IF(_xlfn.XLOOKUP(C218,Customers!$A$2:$A$1001,Customers!$C$2:$C$1001)=0,"",_xlfn.XLOOKUP(C218,Customers!$A$2:$A$1001,Customers!$C$2:$C$1001))</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_xlfn.XLOOKUP(Orders[[#This Row],[Customer ID]],Customers!$A$2:$A$1001,Customers!$I$2:$I$1001,0)</f>
        <v>Yes</v>
      </c>
    </row>
    <row r="219" spans="1:16" x14ac:dyDescent="0.3">
      <c r="A219" s="2" t="s">
        <v>1713</v>
      </c>
      <c r="B219" s="3">
        <v>44174</v>
      </c>
      <c r="C219" s="2" t="s">
        <v>1714</v>
      </c>
      <c r="D219" t="s">
        <v>6176</v>
      </c>
      <c r="E219" s="2">
        <v>4</v>
      </c>
      <c r="F219" s="2" t="str">
        <f>_xlfn.XLOOKUP(C219,Customers!$A$2:$A$1001,Customers!$B$2:$B$1001,0)</f>
        <v>Godfry Poinsett</v>
      </c>
      <c r="G219" s="2" t="str">
        <f>IF(_xlfn.XLOOKUP(C219,Customers!$A$2:$A$1001,Customers!$C$2:$C$1001)=0,"",_xlfn.XLOOKUP(C219,Customers!$A$2:$A$1001,Customers!$C$2:$C$1001))</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_xlfn.XLOOKUP(Orders[[#This Row],[Customer ID]],Customers!$A$2:$A$1001,Customers!$I$2:$I$1001,0)</f>
        <v>No</v>
      </c>
    </row>
    <row r="220" spans="1:16" x14ac:dyDescent="0.3">
      <c r="A220" s="2" t="s">
        <v>1719</v>
      </c>
      <c r="B220" s="3">
        <v>44317</v>
      </c>
      <c r="C220" s="2" t="s">
        <v>1720</v>
      </c>
      <c r="D220" t="s">
        <v>6155</v>
      </c>
      <c r="E220" s="2">
        <v>5</v>
      </c>
      <c r="F220" s="2" t="str">
        <f>_xlfn.XLOOKUP(C220,Customers!$A$2:$A$1001,Customers!$B$2:$B$1001,0)</f>
        <v>Rem Furman</v>
      </c>
      <c r="G220" s="2" t="str">
        <f>IF(_xlfn.XLOOKUP(C220,Customers!$A$2:$A$1001,Customers!$C$2:$C$1001)=0,"",_xlfn.XLOOKUP(C220,Customers!$A$2:$A$1001,Customers!$C$2:$C$1001))</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_xlfn.XLOOKUP(Orders[[#This Row],[Customer ID]],Customers!$A$2:$A$1001,Customers!$I$2:$I$1001,0)</f>
        <v>Yes</v>
      </c>
    </row>
    <row r="221" spans="1:16" x14ac:dyDescent="0.3">
      <c r="A221" s="2" t="s">
        <v>1725</v>
      </c>
      <c r="B221" s="3">
        <v>44777</v>
      </c>
      <c r="C221" s="2" t="s">
        <v>1726</v>
      </c>
      <c r="D221" t="s">
        <v>6178</v>
      </c>
      <c r="E221" s="2">
        <v>3</v>
      </c>
      <c r="F221" s="2" t="str">
        <f>_xlfn.XLOOKUP(C221,Customers!$A$2:$A$1001,Customers!$B$2:$B$1001,0)</f>
        <v>Charis Crosier</v>
      </c>
      <c r="G221" s="2" t="str">
        <f>IF(_xlfn.XLOOKUP(C221,Customers!$A$2:$A$1001,Customers!$C$2:$C$1001)=0,"",_xlfn.XLOOKUP(C221,Customers!$A$2:$A$1001,Customers!$C$2:$C$1001))</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_xlfn.XLOOKUP(Orders[[#This Row],[Customer ID]],Customers!$A$2:$A$1001,Customers!$I$2:$I$1001,0)</f>
        <v>No</v>
      </c>
    </row>
    <row r="222" spans="1:16" x14ac:dyDescent="0.3">
      <c r="A222" s="2" t="s">
        <v>1725</v>
      </c>
      <c r="B222" s="3">
        <v>44777</v>
      </c>
      <c r="C222" s="2" t="s">
        <v>1726</v>
      </c>
      <c r="D222" t="s">
        <v>6174</v>
      </c>
      <c r="E222" s="2">
        <v>5</v>
      </c>
      <c r="F222" s="2" t="str">
        <f>_xlfn.XLOOKUP(C222,Customers!$A$2:$A$1001,Customers!$B$2:$B$1001,0)</f>
        <v>Charis Crosier</v>
      </c>
      <c r="G222" s="2" t="str">
        <f>IF(_xlfn.XLOOKUP(C222,Customers!$A$2:$A$1001,Customers!$C$2:$C$1001)=0,"",_xlfn.XLOOKUP(C222,Customers!$A$2:$A$1001,Customers!$C$2:$C$1001))</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_xlfn.XLOOKUP(Orders[[#This Row],[Customer ID]],Customers!$A$2:$A$1001,Customers!$I$2:$I$1001,0)</f>
        <v>No</v>
      </c>
    </row>
    <row r="223" spans="1:16" x14ac:dyDescent="0.3">
      <c r="A223" s="2" t="s">
        <v>1736</v>
      </c>
      <c r="B223" s="3">
        <v>44513</v>
      </c>
      <c r="C223" s="2" t="s">
        <v>1737</v>
      </c>
      <c r="D223" t="s">
        <v>6140</v>
      </c>
      <c r="E223" s="2">
        <v>6</v>
      </c>
      <c r="F223" s="2" t="str">
        <f>_xlfn.XLOOKUP(C223,Customers!$A$2:$A$1001,Customers!$B$2:$B$1001,0)</f>
        <v>Lenka Rushmer</v>
      </c>
      <c r="G223" s="2" t="str">
        <f>IF(_xlfn.XLOOKUP(C223,Customers!$A$2:$A$1001,Customers!$C$2:$C$1001)=0,"",_xlfn.XLOOKUP(C223,Customers!$A$2:$A$1001,Customers!$C$2:$C$1001))</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_xlfn.XLOOKUP(Orders[[#This Row],[Customer ID]],Customers!$A$2:$A$1001,Customers!$I$2:$I$1001,0)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IF(_xlfn.XLOOKUP(C224,Customers!$A$2:$A$1001,Customers!$C$2:$C$1001)=0,"",_xlfn.XLOOKUP(C224,Customers!$A$2:$A$1001,Customers!$C$2:$C$1001))</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_xlfn.XLOOKUP(Orders[[#This Row],[Customer ID]],Customers!$A$2:$A$1001,Customers!$I$2:$I$1001,0)</f>
        <v>No</v>
      </c>
    </row>
    <row r="225" spans="1:16" x14ac:dyDescent="0.3">
      <c r="A225" s="2" t="s">
        <v>1748</v>
      </c>
      <c r="B225" s="3">
        <v>44109</v>
      </c>
      <c r="C225" s="2" t="s">
        <v>1749</v>
      </c>
      <c r="D225" t="s">
        <v>6171</v>
      </c>
      <c r="E225" s="2">
        <v>4</v>
      </c>
      <c r="F225" s="2" t="str">
        <f>_xlfn.XLOOKUP(C225,Customers!$A$2:$A$1001,Customers!$B$2:$B$1001,0)</f>
        <v>Bobbe Piggott</v>
      </c>
      <c r="G225" s="2" t="str">
        <f>IF(_xlfn.XLOOKUP(C225,Customers!$A$2:$A$1001,Customers!$C$2:$C$1001)=0,"",_xlfn.XLOOKUP(C225,Customers!$A$2:$A$1001,Customers!$C$2:$C$1001))</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_xlfn.XLOOKUP(Orders[[#This Row],[Customer ID]],Customers!$A$2:$A$1001,Customers!$I$2:$I$1001,0)</f>
        <v>Yes</v>
      </c>
    </row>
    <row r="226" spans="1:16" x14ac:dyDescent="0.3">
      <c r="A226" s="2" t="s">
        <v>1753</v>
      </c>
      <c r="B226" s="3">
        <v>43836</v>
      </c>
      <c r="C226" s="2" t="s">
        <v>1754</v>
      </c>
      <c r="D226" t="s">
        <v>6165</v>
      </c>
      <c r="E226" s="2">
        <v>4</v>
      </c>
      <c r="F226" s="2" t="str">
        <f>_xlfn.XLOOKUP(C226,Customers!$A$2:$A$1001,Customers!$B$2:$B$1001,0)</f>
        <v>Ketty Bromehead</v>
      </c>
      <c r="G226" s="2" t="str">
        <f>IF(_xlfn.XLOOKUP(C226,Customers!$A$2:$A$1001,Customers!$C$2:$C$1001)=0,"",_xlfn.XLOOKUP(C226,Customers!$A$2:$A$1001,Customers!$C$2:$C$1001))</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_xlfn.XLOOKUP(Orders[[#This Row],[Customer ID]],Customers!$A$2:$A$1001,Customers!$I$2:$I$1001,0)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IF(_xlfn.XLOOKUP(C227,Customers!$A$2:$A$1001,Customers!$C$2:$C$1001)=0,"",_xlfn.XLOOKUP(C227,Customers!$A$2:$A$1001,Customers!$C$2:$C$1001))</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_xlfn.XLOOKUP(Orders[[#This Row],[Customer ID]],Customers!$A$2:$A$1001,Customers!$I$2:$I$1001,0)</f>
        <v>No</v>
      </c>
    </row>
    <row r="228" spans="1:16" x14ac:dyDescent="0.3">
      <c r="A228" s="2" t="s">
        <v>1765</v>
      </c>
      <c r="B228" s="3">
        <v>43887</v>
      </c>
      <c r="C228" s="2" t="s">
        <v>1766</v>
      </c>
      <c r="D228" t="s">
        <v>6175</v>
      </c>
      <c r="E228" s="2">
        <v>5</v>
      </c>
      <c r="F228" s="2" t="str">
        <f>_xlfn.XLOOKUP(C228,Customers!$A$2:$A$1001,Customers!$B$2:$B$1001,0)</f>
        <v>Anabelle Hutchens</v>
      </c>
      <c r="G228" s="2" t="str">
        <f>IF(_xlfn.XLOOKUP(C228,Customers!$A$2:$A$1001,Customers!$C$2:$C$1001)=0,"",_xlfn.XLOOKUP(C228,Customers!$A$2:$A$1001,Customers!$C$2:$C$1001))</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_xlfn.XLOOKUP(Orders[[#This Row],[Customer ID]],Customers!$A$2:$A$1001,Customers!$I$2:$I$1001,0)</f>
        <v>No</v>
      </c>
    </row>
    <row r="229" spans="1:16" x14ac:dyDescent="0.3">
      <c r="A229" s="2" t="s">
        <v>1771</v>
      </c>
      <c r="B229" s="3">
        <v>43880</v>
      </c>
      <c r="C229" s="2" t="s">
        <v>1772</v>
      </c>
      <c r="D229" t="s">
        <v>6163</v>
      </c>
      <c r="E229" s="2">
        <v>6</v>
      </c>
      <c r="F229" s="2" t="str">
        <f>_xlfn.XLOOKUP(C229,Customers!$A$2:$A$1001,Customers!$B$2:$B$1001,0)</f>
        <v>Noak Wyvill</v>
      </c>
      <c r="G229" s="2" t="str">
        <f>IF(_xlfn.XLOOKUP(C229,Customers!$A$2:$A$1001,Customers!$C$2:$C$1001)=0,"",_xlfn.XLOOKUP(C229,Customers!$A$2:$A$1001,Customers!$C$2:$C$1001))</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_xlfn.XLOOKUP(Orders[[#This Row],[Customer ID]],Customers!$A$2:$A$1001,Customers!$I$2:$I$1001,0)</f>
        <v>Yes</v>
      </c>
    </row>
    <row r="230" spans="1:16" x14ac:dyDescent="0.3">
      <c r="A230" s="2" t="s">
        <v>1777</v>
      </c>
      <c r="B230" s="3">
        <v>44376</v>
      </c>
      <c r="C230" s="2" t="s">
        <v>1778</v>
      </c>
      <c r="D230" t="s">
        <v>6178</v>
      </c>
      <c r="E230" s="2">
        <v>5</v>
      </c>
      <c r="F230" s="2" t="str">
        <f>_xlfn.XLOOKUP(C230,Customers!$A$2:$A$1001,Customers!$B$2:$B$1001,0)</f>
        <v>Beltran Mathon</v>
      </c>
      <c r="G230" s="2" t="str">
        <f>IF(_xlfn.XLOOKUP(C230,Customers!$A$2:$A$1001,Customers!$C$2:$C$1001)=0,"",_xlfn.XLOOKUP(C230,Customers!$A$2:$A$1001,Customers!$C$2:$C$1001))</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_xlfn.XLOOKUP(Orders[[#This Row],[Customer ID]],Customers!$A$2:$A$1001,Customers!$I$2:$I$1001,0)</f>
        <v>No</v>
      </c>
    </row>
    <row r="231" spans="1:16" x14ac:dyDescent="0.3">
      <c r="A231" s="2" t="s">
        <v>1783</v>
      </c>
      <c r="B231" s="3">
        <v>44282</v>
      </c>
      <c r="C231" s="2" t="s">
        <v>1784</v>
      </c>
      <c r="D231" t="s">
        <v>6159</v>
      </c>
      <c r="E231" s="2">
        <v>2</v>
      </c>
      <c r="F231" s="2" t="str">
        <f>_xlfn.XLOOKUP(C231,Customers!$A$2:$A$1001,Customers!$B$2:$B$1001,0)</f>
        <v>Kristos Streight</v>
      </c>
      <c r="G231" s="2" t="str">
        <f>IF(_xlfn.XLOOKUP(C231,Customers!$A$2:$A$1001,Customers!$C$2:$C$1001)=0,"",_xlfn.XLOOKUP(C231,Customers!$A$2:$A$1001,Customers!$C$2:$C$1001))</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_xlfn.XLOOKUP(Orders[[#This Row],[Customer ID]],Customers!$A$2:$A$1001,Customers!$I$2:$I$1001,0)</f>
        <v>No</v>
      </c>
    </row>
    <row r="232" spans="1:16" x14ac:dyDescent="0.3">
      <c r="A232" s="2" t="s">
        <v>1789</v>
      </c>
      <c r="B232" s="3">
        <v>44496</v>
      </c>
      <c r="C232" s="2" t="s">
        <v>1790</v>
      </c>
      <c r="D232" t="s">
        <v>6175</v>
      </c>
      <c r="E232" s="2">
        <v>2</v>
      </c>
      <c r="F232" s="2" t="str">
        <f>_xlfn.XLOOKUP(C232,Customers!$A$2:$A$1001,Customers!$B$2:$B$1001,0)</f>
        <v>Portie Cutchie</v>
      </c>
      <c r="G232" s="2" t="str">
        <f>IF(_xlfn.XLOOKUP(C232,Customers!$A$2:$A$1001,Customers!$C$2:$C$1001)=0,"",_xlfn.XLOOKUP(C232,Customers!$A$2:$A$1001,Customers!$C$2:$C$1001))</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_xlfn.XLOOKUP(Orders[[#This Row],[Customer ID]],Customers!$A$2:$A$1001,Customers!$I$2:$I$1001,0)</f>
        <v>No</v>
      </c>
    </row>
    <row r="233" spans="1:16" x14ac:dyDescent="0.3">
      <c r="A233" s="2" t="s">
        <v>1795</v>
      </c>
      <c r="B233" s="3">
        <v>43628</v>
      </c>
      <c r="C233" s="2" t="s">
        <v>1796</v>
      </c>
      <c r="D233" t="s">
        <v>6159</v>
      </c>
      <c r="E233" s="2">
        <v>2</v>
      </c>
      <c r="F233" s="2" t="str">
        <f>_xlfn.XLOOKUP(C233,Customers!$A$2:$A$1001,Customers!$B$2:$B$1001,0)</f>
        <v>Sinclare Edsell</v>
      </c>
      <c r="G233" s="2" t="str">
        <f>IF(_xlfn.XLOOKUP(C233,Customers!$A$2:$A$1001,Customers!$C$2:$C$1001)=0,"",_xlfn.XLOOKUP(C233,Customers!$A$2:$A$1001,Customers!$C$2:$C$1001))</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_xlfn.XLOOKUP(Orders[[#This Row],[Customer ID]],Customers!$A$2:$A$1001,Customers!$I$2:$I$1001,0)</f>
        <v>Yes</v>
      </c>
    </row>
    <row r="234" spans="1:16" x14ac:dyDescent="0.3">
      <c r="A234" s="2" t="s">
        <v>1800</v>
      </c>
      <c r="B234" s="3">
        <v>44010</v>
      </c>
      <c r="C234" s="2" t="s">
        <v>1801</v>
      </c>
      <c r="D234" t="s">
        <v>6145</v>
      </c>
      <c r="E234" s="2">
        <v>5</v>
      </c>
      <c r="F234" s="2" t="str">
        <f>_xlfn.XLOOKUP(C234,Customers!$A$2:$A$1001,Customers!$B$2:$B$1001,0)</f>
        <v>Conny Gheraldi</v>
      </c>
      <c r="G234" s="2" t="str">
        <f>IF(_xlfn.XLOOKUP(C234,Customers!$A$2:$A$1001,Customers!$C$2:$C$1001)=0,"",_xlfn.XLOOKUP(C234,Customers!$A$2:$A$1001,Customers!$C$2:$C$1001))</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_xlfn.XLOOKUP(Orders[[#This Row],[Customer ID]],Customers!$A$2:$A$1001,Customers!$I$2:$I$1001,0)</f>
        <v>No</v>
      </c>
    </row>
    <row r="235" spans="1:16" x14ac:dyDescent="0.3">
      <c r="A235" s="2" t="s">
        <v>1806</v>
      </c>
      <c r="B235" s="3">
        <v>44278</v>
      </c>
      <c r="C235" s="2" t="s">
        <v>1807</v>
      </c>
      <c r="D235" t="s">
        <v>6156</v>
      </c>
      <c r="E235" s="2">
        <v>5</v>
      </c>
      <c r="F235" s="2" t="str">
        <f>_xlfn.XLOOKUP(C235,Customers!$A$2:$A$1001,Customers!$B$2:$B$1001,0)</f>
        <v>Beryle Kenwell</v>
      </c>
      <c r="G235" s="2" t="str">
        <f>IF(_xlfn.XLOOKUP(C235,Customers!$A$2:$A$1001,Customers!$C$2:$C$1001)=0,"",_xlfn.XLOOKUP(C235,Customers!$A$2:$A$1001,Customers!$C$2:$C$1001))</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_xlfn.XLOOKUP(Orders[[#This Row],[Customer ID]],Customers!$A$2:$A$1001,Customers!$I$2:$I$1001,0)</f>
        <v>No</v>
      </c>
    </row>
    <row r="236" spans="1:16" x14ac:dyDescent="0.3">
      <c r="A236" s="2" t="s">
        <v>1812</v>
      </c>
      <c r="B236" s="3">
        <v>44602</v>
      </c>
      <c r="C236" s="2" t="s">
        <v>1813</v>
      </c>
      <c r="D236" t="s">
        <v>6164</v>
      </c>
      <c r="E236" s="2">
        <v>1</v>
      </c>
      <c r="F236" s="2" t="str">
        <f>_xlfn.XLOOKUP(C236,Customers!$A$2:$A$1001,Customers!$B$2:$B$1001,0)</f>
        <v>Tomas Sutty</v>
      </c>
      <c r="G236" s="2" t="str">
        <f>IF(_xlfn.XLOOKUP(C236,Customers!$A$2:$A$1001,Customers!$C$2:$C$1001)=0,"",_xlfn.XLOOKUP(C236,Customers!$A$2:$A$1001,Customers!$C$2:$C$1001))</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_xlfn.XLOOKUP(Orders[[#This Row],[Customer ID]],Customers!$A$2:$A$1001,Customers!$I$2:$I$1001,0)</f>
        <v>No</v>
      </c>
    </row>
    <row r="237" spans="1:16" x14ac:dyDescent="0.3">
      <c r="A237" s="2" t="s">
        <v>1818</v>
      </c>
      <c r="B237" s="3">
        <v>43571</v>
      </c>
      <c r="C237" s="2" t="s">
        <v>1819</v>
      </c>
      <c r="D237" t="s">
        <v>6164</v>
      </c>
      <c r="E237" s="2">
        <v>5</v>
      </c>
      <c r="F237" s="2" t="str">
        <f>_xlfn.XLOOKUP(C237,Customers!$A$2:$A$1001,Customers!$B$2:$B$1001,0)</f>
        <v>Samuele Ales0</v>
      </c>
      <c r="G237" s="2" t="str">
        <f>IF(_xlfn.XLOOKUP(C237,Customers!$A$2:$A$1001,Customers!$C$2:$C$1001)=0,"",_xlfn.XLOOKUP(C237,Customers!$A$2:$A$1001,Customers!$C$2:$C$1001))</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_xlfn.XLOOKUP(Orders[[#This Row],[Customer ID]],Customers!$A$2:$A$1001,Customers!$I$2:$I$1001,0)</f>
        <v>No</v>
      </c>
    </row>
    <row r="238" spans="1:16" x14ac:dyDescent="0.3">
      <c r="A238" s="2" t="s">
        <v>1822</v>
      </c>
      <c r="B238" s="3">
        <v>43873</v>
      </c>
      <c r="C238" s="2" t="s">
        <v>1823</v>
      </c>
      <c r="D238" t="s">
        <v>6165</v>
      </c>
      <c r="E238" s="2">
        <v>3</v>
      </c>
      <c r="F238" s="2" t="str">
        <f>_xlfn.XLOOKUP(C238,Customers!$A$2:$A$1001,Customers!$B$2:$B$1001,0)</f>
        <v>Carlie Harce</v>
      </c>
      <c r="G238" s="2" t="str">
        <f>IF(_xlfn.XLOOKUP(C238,Customers!$A$2:$A$1001,Customers!$C$2:$C$1001)=0,"",_xlfn.XLOOKUP(C238,Customers!$A$2:$A$1001,Customers!$C$2:$C$1001))</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_xlfn.XLOOKUP(Orders[[#This Row],[Customer ID]],Customers!$A$2:$A$1001,Customers!$I$2:$I$1001,0)</f>
        <v>No</v>
      </c>
    </row>
    <row r="239" spans="1:16" x14ac:dyDescent="0.3">
      <c r="A239" s="2" t="s">
        <v>1828</v>
      </c>
      <c r="B239" s="3">
        <v>44563</v>
      </c>
      <c r="C239" s="2" t="s">
        <v>1829</v>
      </c>
      <c r="D239" t="s">
        <v>6178</v>
      </c>
      <c r="E239" s="2">
        <v>1</v>
      </c>
      <c r="F239" s="2" t="str">
        <f>_xlfn.XLOOKUP(C239,Customers!$A$2:$A$1001,Customers!$B$2:$B$1001,0)</f>
        <v>Craggy Bril</v>
      </c>
      <c r="G239" s="2" t="str">
        <f>IF(_xlfn.XLOOKUP(C239,Customers!$A$2:$A$1001,Customers!$C$2:$C$1001)=0,"",_xlfn.XLOOKUP(C239,Customers!$A$2:$A$1001,Customers!$C$2:$C$1001))</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_xlfn.XLOOKUP(Orders[[#This Row],[Customer ID]],Customers!$A$2:$A$1001,Customers!$I$2:$I$1001,0)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IF(_xlfn.XLOOKUP(C240,Customers!$A$2:$A$1001,Customers!$C$2:$C$1001)=0,"",_xlfn.XLOOKUP(C240,Customers!$A$2:$A$1001,Customers!$C$2:$C$1001))</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_xlfn.XLOOKUP(Orders[[#This Row],[Customer ID]],Customers!$A$2:$A$1001,Customers!$I$2:$I$1001,0)</f>
        <v>Yes</v>
      </c>
    </row>
    <row r="241" spans="1:16" x14ac:dyDescent="0.3">
      <c r="A241" s="2" t="s">
        <v>1839</v>
      </c>
      <c r="B241" s="3">
        <v>43881</v>
      </c>
      <c r="C241" s="2" t="s">
        <v>1840</v>
      </c>
      <c r="D241" t="s">
        <v>6171</v>
      </c>
      <c r="E241" s="2">
        <v>4</v>
      </c>
      <c r="F241" s="2" t="str">
        <f>_xlfn.XLOOKUP(C241,Customers!$A$2:$A$1001,Customers!$B$2:$B$1001,0)</f>
        <v>Devon Magowan</v>
      </c>
      <c r="G241" s="2" t="str">
        <f>IF(_xlfn.XLOOKUP(C241,Customers!$A$2:$A$1001,Customers!$C$2:$C$1001)=0,"",_xlfn.XLOOKUP(C241,Customers!$A$2:$A$1001,Customers!$C$2:$C$1001))</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_xlfn.XLOOKUP(Orders[[#This Row],[Customer ID]],Customers!$A$2:$A$1001,Customers!$I$2:$I$1001,0)</f>
        <v>No</v>
      </c>
    </row>
    <row r="242" spans="1:16" x14ac:dyDescent="0.3">
      <c r="A242" s="2" t="s">
        <v>1845</v>
      </c>
      <c r="B242" s="3">
        <v>43993</v>
      </c>
      <c r="C242" s="2" t="s">
        <v>1846</v>
      </c>
      <c r="D242" t="s">
        <v>6175</v>
      </c>
      <c r="E242" s="2">
        <v>6</v>
      </c>
      <c r="F242" s="2" t="str">
        <f>_xlfn.XLOOKUP(C242,Customers!$A$2:$A$1001,Customers!$B$2:$B$1001,0)</f>
        <v>Codi Littrell</v>
      </c>
      <c r="G242" s="2" t="str">
        <f>IF(_xlfn.XLOOKUP(C242,Customers!$A$2:$A$1001,Customers!$C$2:$C$1001)=0,"",_xlfn.XLOOKUP(C242,Customers!$A$2:$A$1001,Customers!$C$2:$C$1001))</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_xlfn.XLOOKUP(Orders[[#This Row],[Customer ID]],Customers!$A$2:$A$1001,Customers!$I$2:$I$1001,0)</f>
        <v>Yes</v>
      </c>
    </row>
    <row r="243" spans="1:16" x14ac:dyDescent="0.3">
      <c r="A243" s="2" t="s">
        <v>1849</v>
      </c>
      <c r="B243" s="3">
        <v>44082</v>
      </c>
      <c r="C243" s="2" t="s">
        <v>1850</v>
      </c>
      <c r="D243" t="s">
        <v>6151</v>
      </c>
      <c r="E243" s="2">
        <v>2</v>
      </c>
      <c r="F243" s="2" t="str">
        <f>_xlfn.XLOOKUP(C243,Customers!$A$2:$A$1001,Customers!$B$2:$B$1001,0)</f>
        <v>Christel Speak</v>
      </c>
      <c r="G243" s="2" t="str">
        <f>IF(_xlfn.XLOOKUP(C243,Customers!$A$2:$A$1001,Customers!$C$2:$C$1001)=0,"",_xlfn.XLOOKUP(C243,Customers!$A$2:$A$1001,Customers!$C$2:$C$1001))</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_xlfn.XLOOKUP(Orders[[#This Row],[Customer ID]],Customers!$A$2:$A$1001,Customers!$I$2:$I$1001,0)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IF(_xlfn.XLOOKUP(C244,Customers!$A$2:$A$1001,Customers!$C$2:$C$1001)=0,"",_xlfn.XLOOKUP(C244,Customers!$A$2:$A$1001,Customers!$C$2:$C$1001))</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_xlfn.XLOOKUP(Orders[[#This Row],[Customer ID]],Customers!$A$2:$A$1001,Customers!$I$2:$I$1001,0)</f>
        <v>Yes</v>
      </c>
    </row>
    <row r="245" spans="1:16" x14ac:dyDescent="0.3">
      <c r="A245" s="2" t="s">
        <v>1860</v>
      </c>
      <c r="B245" s="3">
        <v>44114</v>
      </c>
      <c r="C245" s="2" t="s">
        <v>1861</v>
      </c>
      <c r="D245" t="s">
        <v>6144</v>
      </c>
      <c r="E245" s="2">
        <v>4</v>
      </c>
      <c r="F245" s="2" t="str">
        <f>_xlfn.XLOOKUP(C245,Customers!$A$2:$A$1001,Customers!$B$2:$B$1001,0)</f>
        <v>Tammie Drynan</v>
      </c>
      <c r="G245" s="2" t="str">
        <f>IF(_xlfn.XLOOKUP(C245,Customers!$A$2:$A$1001,Customers!$C$2:$C$1001)=0,"",_xlfn.XLOOKUP(C245,Customers!$A$2:$A$1001,Customers!$C$2:$C$1001))</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_xlfn.XLOOKUP(Orders[[#This Row],[Customer ID]],Customers!$A$2:$A$1001,Customers!$I$2:$I$1001,0)</f>
        <v>Yes</v>
      </c>
    </row>
    <row r="246" spans="1:16" x14ac:dyDescent="0.3">
      <c r="A246" s="2" t="s">
        <v>1866</v>
      </c>
      <c r="B246" s="3">
        <v>44702</v>
      </c>
      <c r="C246" s="2" t="s">
        <v>1867</v>
      </c>
      <c r="D246" t="s">
        <v>6181</v>
      </c>
      <c r="E246" s="2">
        <v>4</v>
      </c>
      <c r="F246" s="2" t="str">
        <f>_xlfn.XLOOKUP(C246,Customers!$A$2:$A$1001,Customers!$B$2:$B$1001,0)</f>
        <v>Effie Yurkov</v>
      </c>
      <c r="G246" s="2" t="str">
        <f>IF(_xlfn.XLOOKUP(C246,Customers!$A$2:$A$1001,Customers!$C$2:$C$1001)=0,"",_xlfn.XLOOKUP(C246,Customers!$A$2:$A$1001,Customers!$C$2:$C$1001))</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_xlfn.XLOOKUP(Orders[[#This Row],[Customer ID]],Customers!$A$2:$A$1001,Customers!$I$2:$I$1001,0)</f>
        <v>No</v>
      </c>
    </row>
    <row r="247" spans="1:16" x14ac:dyDescent="0.3">
      <c r="A247" s="2" t="s">
        <v>1872</v>
      </c>
      <c r="B247" s="3">
        <v>43951</v>
      </c>
      <c r="C247" s="2" t="s">
        <v>1873</v>
      </c>
      <c r="D247" t="s">
        <v>6145</v>
      </c>
      <c r="E247" s="2">
        <v>5</v>
      </c>
      <c r="F247" s="2" t="str">
        <f>_xlfn.XLOOKUP(C247,Customers!$A$2:$A$1001,Customers!$B$2:$B$1001,0)</f>
        <v>Lexie Mallan</v>
      </c>
      <c r="G247" s="2" t="str">
        <f>IF(_xlfn.XLOOKUP(C247,Customers!$A$2:$A$1001,Customers!$C$2:$C$1001)=0,"",_xlfn.XLOOKUP(C247,Customers!$A$2:$A$1001,Customers!$C$2:$C$1001))</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_xlfn.XLOOKUP(Orders[[#This Row],[Customer ID]],Customers!$A$2:$A$1001,Customers!$I$2:$I$1001,0)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IF(_xlfn.XLOOKUP(C248,Customers!$A$2:$A$1001,Customers!$C$2:$C$1001)=0,"",_xlfn.XLOOKUP(C248,Customers!$A$2:$A$1001,Customers!$C$2:$C$1001))</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_xlfn.XLOOKUP(Orders[[#This Row],[Customer ID]],Customers!$A$2:$A$1001,Customers!$I$2:$I$1001,0)</f>
        <v>No</v>
      </c>
    </row>
    <row r="249" spans="1:16" x14ac:dyDescent="0.3">
      <c r="A249" s="2" t="s">
        <v>1884</v>
      </c>
      <c r="B249" s="3">
        <v>44131</v>
      </c>
      <c r="C249" s="2" t="s">
        <v>1885</v>
      </c>
      <c r="D249" t="s">
        <v>6178</v>
      </c>
      <c r="E249" s="2">
        <v>6</v>
      </c>
      <c r="F249" s="2" t="str">
        <f>_xlfn.XLOOKUP(C249,Customers!$A$2:$A$1001,Customers!$B$2:$B$1001,0)</f>
        <v>Delmar Beasant</v>
      </c>
      <c r="G249" s="2" t="str">
        <f>IF(_xlfn.XLOOKUP(C249,Customers!$A$2:$A$1001,Customers!$C$2:$C$1001)=0,"",_xlfn.XLOOKUP(C249,Customers!$A$2:$A$1001,Customers!$C$2:$C$1001))</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_xlfn.XLOOKUP(Orders[[#This Row],[Customer ID]],Customers!$A$2:$A$1001,Customers!$I$2:$I$1001,0)</f>
        <v>Yes</v>
      </c>
    </row>
    <row r="250" spans="1:16" x14ac:dyDescent="0.3">
      <c r="A250" s="2" t="s">
        <v>1889</v>
      </c>
      <c r="B250" s="3">
        <v>44019</v>
      </c>
      <c r="C250" s="2" t="s">
        <v>1890</v>
      </c>
      <c r="D250" t="s">
        <v>6147</v>
      </c>
      <c r="E250" s="2">
        <v>1</v>
      </c>
      <c r="F250" s="2" t="str">
        <f>_xlfn.XLOOKUP(C250,Customers!$A$2:$A$1001,Customers!$B$2:$B$1001,0)</f>
        <v>Lyn Entwistle</v>
      </c>
      <c r="G250" s="2" t="str">
        <f>IF(_xlfn.XLOOKUP(C250,Customers!$A$2:$A$1001,Customers!$C$2:$C$1001)=0,"",_xlfn.XLOOKUP(C250,Customers!$A$2:$A$1001,Customers!$C$2:$C$1001))</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_xlfn.XLOOKUP(Orders[[#This Row],[Customer ID]],Customers!$A$2:$A$1001,Customers!$I$2:$I$1001,0)</f>
        <v>Yes</v>
      </c>
    </row>
    <row r="251" spans="1:16" x14ac:dyDescent="0.3">
      <c r="A251" s="2" t="s">
        <v>1895</v>
      </c>
      <c r="B251" s="3">
        <v>43861</v>
      </c>
      <c r="C251" s="2" t="s">
        <v>1935</v>
      </c>
      <c r="D251" t="s">
        <v>6170</v>
      </c>
      <c r="E251" s="2">
        <v>1</v>
      </c>
      <c r="F251" s="2" t="str">
        <f>_xlfn.XLOOKUP(C251,Customers!$A$2:$A$1001,Customers!$B$2:$B$1001,0)</f>
        <v>Zacharias Kiffe</v>
      </c>
      <c r="G251" s="2" t="str">
        <f>IF(_xlfn.XLOOKUP(C251,Customers!$A$2:$A$1001,Customers!$C$2:$C$1001)=0,"",_xlfn.XLOOKUP(C251,Customers!$A$2:$A$1001,Customers!$C$2:$C$1001))</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_xlfn.XLOOKUP(Orders[[#This Row],[Customer ID]],Customers!$A$2:$A$1001,Customers!$I$2:$I$1001,0)</f>
        <v>Yes</v>
      </c>
    </row>
    <row r="252" spans="1:16" x14ac:dyDescent="0.3">
      <c r="A252" s="2" t="s">
        <v>1900</v>
      </c>
      <c r="B252" s="3">
        <v>43879</v>
      </c>
      <c r="C252" s="2" t="s">
        <v>1901</v>
      </c>
      <c r="D252" t="s">
        <v>6174</v>
      </c>
      <c r="E252" s="2">
        <v>1</v>
      </c>
      <c r="F252" s="2" t="str">
        <f>_xlfn.XLOOKUP(C252,Customers!$A$2:$A$1001,Customers!$B$2:$B$1001,0)</f>
        <v>Mercedes Acott</v>
      </c>
      <c r="G252" s="2" t="str">
        <f>IF(_xlfn.XLOOKUP(C252,Customers!$A$2:$A$1001,Customers!$C$2:$C$1001)=0,"",_xlfn.XLOOKUP(C252,Customers!$A$2:$A$1001,Customers!$C$2:$C$1001))</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_xlfn.XLOOKUP(Orders[[#This Row],[Customer ID]],Customers!$A$2:$A$1001,Customers!$I$2:$I$1001,0)</f>
        <v>Yes</v>
      </c>
    </row>
    <row r="253" spans="1:16" x14ac:dyDescent="0.3">
      <c r="A253" s="2" t="s">
        <v>1906</v>
      </c>
      <c r="B253" s="3">
        <v>44360</v>
      </c>
      <c r="C253" s="2" t="s">
        <v>1907</v>
      </c>
      <c r="D253" t="s">
        <v>6141</v>
      </c>
      <c r="E253" s="2">
        <v>5</v>
      </c>
      <c r="F253" s="2" t="str">
        <f>_xlfn.XLOOKUP(C253,Customers!$A$2:$A$1001,Customers!$B$2:$B$1001,0)</f>
        <v>Connor Heaviside</v>
      </c>
      <c r="G253" s="2" t="str">
        <f>IF(_xlfn.XLOOKUP(C253,Customers!$A$2:$A$1001,Customers!$C$2:$C$1001)=0,"",_xlfn.XLOOKUP(C253,Customers!$A$2:$A$1001,Customers!$C$2:$C$1001))</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_xlfn.XLOOKUP(Orders[[#This Row],[Customer ID]],Customers!$A$2:$A$1001,Customers!$I$2:$I$1001,0)</f>
        <v>Yes</v>
      </c>
    </row>
    <row r="254" spans="1:16" x14ac:dyDescent="0.3">
      <c r="A254" s="2" t="s">
        <v>1912</v>
      </c>
      <c r="B254" s="3">
        <v>44779</v>
      </c>
      <c r="C254" s="2" t="s">
        <v>1913</v>
      </c>
      <c r="D254" t="s">
        <v>6147</v>
      </c>
      <c r="E254" s="2">
        <v>3</v>
      </c>
      <c r="F254" s="2" t="str">
        <f>_xlfn.XLOOKUP(C254,Customers!$A$2:$A$1001,Customers!$B$2:$B$1001,0)</f>
        <v>Devy Bulbrook</v>
      </c>
      <c r="G254" s="2" t="str">
        <f>IF(_xlfn.XLOOKUP(C254,Customers!$A$2:$A$1001,Customers!$C$2:$C$1001)=0,"",_xlfn.XLOOKUP(C254,Customers!$A$2:$A$1001,Customers!$C$2:$C$1001))</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_xlfn.XLOOKUP(Orders[[#This Row],[Customer ID]],Customers!$A$2:$A$1001,Customers!$I$2:$I$1001,0)</f>
        <v>No</v>
      </c>
    </row>
    <row r="255" spans="1:16" x14ac:dyDescent="0.3">
      <c r="A255" s="2" t="s">
        <v>1917</v>
      </c>
      <c r="B255" s="3">
        <v>44523</v>
      </c>
      <c r="C255" s="2" t="s">
        <v>1918</v>
      </c>
      <c r="D255" t="s">
        <v>6162</v>
      </c>
      <c r="E255" s="2">
        <v>4</v>
      </c>
      <c r="F255" s="2" t="str">
        <f>_xlfn.XLOOKUP(C255,Customers!$A$2:$A$1001,Customers!$B$2:$B$1001,0)</f>
        <v>Leia Kernan</v>
      </c>
      <c r="G255" s="2" t="str">
        <f>IF(_xlfn.XLOOKUP(C255,Customers!$A$2:$A$1001,Customers!$C$2:$C$1001)=0,"",_xlfn.XLOOKUP(C255,Customers!$A$2:$A$1001,Customers!$C$2:$C$1001))</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_xlfn.XLOOKUP(Orders[[#This Row],[Customer ID]],Customers!$A$2:$A$1001,Customers!$I$2:$I$1001,0)</f>
        <v>No</v>
      </c>
    </row>
    <row r="256" spans="1:16" x14ac:dyDescent="0.3">
      <c r="A256" s="2" t="s">
        <v>1923</v>
      </c>
      <c r="B256" s="3">
        <v>44482</v>
      </c>
      <c r="C256" s="2" t="s">
        <v>1924</v>
      </c>
      <c r="D256" t="s">
        <v>6173</v>
      </c>
      <c r="E256" s="2">
        <v>4</v>
      </c>
      <c r="F256" s="2" t="str">
        <f>_xlfn.XLOOKUP(C256,Customers!$A$2:$A$1001,Customers!$B$2:$B$1001,0)</f>
        <v>Rosaline McLae</v>
      </c>
      <c r="G256" s="2" t="str">
        <f>IF(_xlfn.XLOOKUP(C256,Customers!$A$2:$A$1001,Customers!$C$2:$C$1001)=0,"",_xlfn.XLOOKUP(C256,Customers!$A$2:$A$1001,Customers!$C$2:$C$1001))</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_xlfn.XLOOKUP(Orders[[#This Row],[Customer ID]],Customers!$A$2:$A$1001,Customers!$I$2:$I$1001,0)</f>
        <v>No</v>
      </c>
    </row>
    <row r="257" spans="1:16" x14ac:dyDescent="0.3">
      <c r="A257" s="2" t="s">
        <v>1928</v>
      </c>
      <c r="B257" s="3">
        <v>44439</v>
      </c>
      <c r="C257" s="2" t="s">
        <v>1929</v>
      </c>
      <c r="D257" t="s">
        <v>6173</v>
      </c>
      <c r="E257" s="2">
        <v>3</v>
      </c>
      <c r="F257" s="2" t="str">
        <f>_xlfn.XLOOKUP(C257,Customers!$A$2:$A$1001,Customers!$B$2:$B$1001,0)</f>
        <v>Cleve Blowfelde</v>
      </c>
      <c r="G257" s="2" t="str">
        <f>IF(_xlfn.XLOOKUP(C257,Customers!$A$2:$A$1001,Customers!$C$2:$C$1001)=0,"",_xlfn.XLOOKUP(C257,Customers!$A$2:$A$1001,Customers!$C$2:$C$1001))</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_xlfn.XLOOKUP(Orders[[#This Row],[Customer ID]],Customers!$A$2:$A$1001,Customers!$I$2:$I$1001,0)</f>
        <v>No</v>
      </c>
    </row>
    <row r="258" spans="1:16" x14ac:dyDescent="0.3">
      <c r="A258" s="2" t="s">
        <v>1934</v>
      </c>
      <c r="B258" s="3">
        <v>43846</v>
      </c>
      <c r="C258" s="2" t="s">
        <v>1935</v>
      </c>
      <c r="D258" t="s">
        <v>6160</v>
      </c>
      <c r="E258" s="2">
        <v>2</v>
      </c>
      <c r="F258" s="2" t="str">
        <f>_xlfn.XLOOKUP(C258,Customers!$A$2:$A$1001,Customers!$B$2:$B$1001,0)</f>
        <v>Zacharias Kiffe</v>
      </c>
      <c r="G258" s="2" t="str">
        <f>IF(_xlfn.XLOOKUP(C258,Customers!$A$2:$A$1001,Customers!$C$2:$C$1001)=0,"",_xlfn.XLOOKUP(C258,Customers!$A$2:$A$1001,Customers!$C$2:$C$1001))</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ref="M258:M321" si="12">L258*E258</f>
        <v>17.46</v>
      </c>
      <c r="N258" t="str">
        <f t="shared" ref="N258:N321" si="13">IF(I258="Rob","Robusta",IF(I258="Exc","Excelsa",IF(I258="Ara","Arabica",IF(I258="Lib","Liberica",""))))</f>
        <v>Liberica</v>
      </c>
      <c r="O258" t="str">
        <f t="shared" ref="O258:O321" si="14">IF(J258="M","Medium",IF(J258="L","Light",IF(J258="D","Dark","")))</f>
        <v>Medium</v>
      </c>
      <c r="P258" t="str">
        <f>_xlfn.XLOOKUP(Orders[[#This Row],[Customer ID]],Customers!$A$2:$A$1001,Customers!$I$2:$I$1001,0)</f>
        <v>Yes</v>
      </c>
    </row>
    <row r="259" spans="1:16" x14ac:dyDescent="0.3">
      <c r="A259" s="2" t="s">
        <v>1940</v>
      </c>
      <c r="B259" s="3">
        <v>44676</v>
      </c>
      <c r="C259" s="2" t="s">
        <v>1941</v>
      </c>
      <c r="D259" t="s">
        <v>6185</v>
      </c>
      <c r="E259" s="2">
        <v>1</v>
      </c>
      <c r="F259" s="2" t="str">
        <f>_xlfn.XLOOKUP(C259,Customers!$A$2:$A$1001,Customers!$B$2:$B$1001,0)</f>
        <v>Denyse O'Calleran</v>
      </c>
      <c r="G259" s="2" t="str">
        <f>IF(_xlfn.XLOOKUP(C259,Customers!$A$2:$A$1001,Customers!$C$2:$C$1001)=0,"",_xlfn.XLOOKUP(C259,Customers!$A$2:$A$1001,Customers!$C$2:$C$1001))</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si="12"/>
        <v>27.945</v>
      </c>
      <c r="N259" t="str">
        <f t="shared" si="13"/>
        <v>Excelsa</v>
      </c>
      <c r="O259" t="str">
        <f t="shared" si="14"/>
        <v>Dark</v>
      </c>
      <c r="P259" t="str">
        <f>_xlfn.XLOOKUP(Orders[[#This Row],[Customer ID]],Customers!$A$2:$A$1001,Customers!$I$2:$I$1001,0)</f>
        <v>Yes</v>
      </c>
    </row>
    <row r="260" spans="1:16" x14ac:dyDescent="0.3">
      <c r="A260" s="2" t="s">
        <v>1946</v>
      </c>
      <c r="B260" s="3">
        <v>44513</v>
      </c>
      <c r="C260" s="2" t="s">
        <v>1947</v>
      </c>
      <c r="D260" t="s">
        <v>6185</v>
      </c>
      <c r="E260" s="2">
        <v>5</v>
      </c>
      <c r="F260" s="2" t="str">
        <f>_xlfn.XLOOKUP(C260,Customers!$A$2:$A$1001,Customers!$B$2:$B$1001,0)</f>
        <v>Cobby Cromwell</v>
      </c>
      <c r="G260" s="2" t="str">
        <f>IF(_xlfn.XLOOKUP(C260,Customers!$A$2:$A$1001,Customers!$C$2:$C$1001)=0,"",_xlfn.XLOOKUP(C260,Customers!$A$2:$A$1001,Customers!$C$2:$C$1001))</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_xlfn.XLOOKUP(Orders[[#This Row],[Customer ID]],Customers!$A$2:$A$1001,Customers!$I$2:$I$1001,0)</f>
        <v>No</v>
      </c>
    </row>
    <row r="261" spans="1:16" x14ac:dyDescent="0.3">
      <c r="A261" s="2" t="s">
        <v>1952</v>
      </c>
      <c r="B261" s="3">
        <v>44355</v>
      </c>
      <c r="C261" s="2" t="s">
        <v>1953</v>
      </c>
      <c r="D261" t="s">
        <v>6174</v>
      </c>
      <c r="E261" s="2">
        <v>2</v>
      </c>
      <c r="F261" s="2" t="str">
        <f>_xlfn.XLOOKUP(C261,Customers!$A$2:$A$1001,Customers!$B$2:$B$1001,0)</f>
        <v>Irv Hay</v>
      </c>
      <c r="G261" s="2" t="str">
        <f>IF(_xlfn.XLOOKUP(C261,Customers!$A$2:$A$1001,Customers!$C$2:$C$1001)=0,"",_xlfn.XLOOKUP(C261,Customers!$A$2:$A$1001,Customers!$C$2:$C$1001))</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_xlfn.XLOOKUP(Orders[[#This Row],[Customer ID]],Customers!$A$2:$A$1001,Customers!$I$2:$I$1001,0)</f>
        <v>No</v>
      </c>
    </row>
    <row r="262" spans="1:16" x14ac:dyDescent="0.3">
      <c r="A262" s="2" t="s">
        <v>1958</v>
      </c>
      <c r="B262" s="3">
        <v>44156</v>
      </c>
      <c r="C262" s="2" t="s">
        <v>1959</v>
      </c>
      <c r="D262" t="s">
        <v>6142</v>
      </c>
      <c r="E262" s="2">
        <v>1</v>
      </c>
      <c r="F262" s="2" t="str">
        <f>_xlfn.XLOOKUP(C262,Customers!$A$2:$A$1001,Customers!$B$2:$B$1001,0)</f>
        <v>Tani Taffarello</v>
      </c>
      <c r="G262" s="2" t="str">
        <f>IF(_xlfn.XLOOKUP(C262,Customers!$A$2:$A$1001,Customers!$C$2:$C$1001)=0,"",_xlfn.XLOOKUP(C262,Customers!$A$2:$A$1001,Customers!$C$2:$C$1001))</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_xlfn.XLOOKUP(Orders[[#This Row],[Customer ID]],Customers!$A$2:$A$1001,Customers!$I$2:$I$1001,0)</f>
        <v>Yes</v>
      </c>
    </row>
    <row r="263" spans="1:16" x14ac:dyDescent="0.3">
      <c r="A263" s="2" t="s">
        <v>1963</v>
      </c>
      <c r="B263" s="3">
        <v>43538</v>
      </c>
      <c r="C263" s="2" t="s">
        <v>1964</v>
      </c>
      <c r="D263" t="s">
        <v>6179</v>
      </c>
      <c r="E263" s="2">
        <v>5</v>
      </c>
      <c r="F263" s="2" t="str">
        <f>_xlfn.XLOOKUP(C263,Customers!$A$2:$A$1001,Customers!$B$2:$B$1001,0)</f>
        <v>Monique Canty</v>
      </c>
      <c r="G263" s="2" t="str">
        <f>IF(_xlfn.XLOOKUP(C263,Customers!$A$2:$A$1001,Customers!$C$2:$C$1001)=0,"",_xlfn.XLOOKUP(C263,Customers!$A$2:$A$1001,Customers!$C$2:$C$1001))</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_xlfn.XLOOKUP(Orders[[#This Row],[Customer ID]],Customers!$A$2:$A$1001,Customers!$I$2:$I$1001,0)</f>
        <v>Yes</v>
      </c>
    </row>
    <row r="264" spans="1:16" x14ac:dyDescent="0.3">
      <c r="A264" s="2" t="s">
        <v>1969</v>
      </c>
      <c r="B264" s="3">
        <v>43693</v>
      </c>
      <c r="C264" s="2" t="s">
        <v>1970</v>
      </c>
      <c r="D264" t="s">
        <v>6141</v>
      </c>
      <c r="E264" s="2">
        <v>3</v>
      </c>
      <c r="F264" s="2" t="str">
        <f>_xlfn.XLOOKUP(C264,Customers!$A$2:$A$1001,Customers!$B$2:$B$1001,0)</f>
        <v>Javier Kopke</v>
      </c>
      <c r="G264" s="2" t="str">
        <f>IF(_xlfn.XLOOKUP(C264,Customers!$A$2:$A$1001,Customers!$C$2:$C$1001)=0,"",_xlfn.XLOOKUP(C264,Customers!$A$2:$A$1001,Customers!$C$2:$C$1001))</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_xlfn.XLOOKUP(Orders[[#This Row],[Customer ID]],Customers!$A$2:$A$1001,Customers!$I$2:$I$1001,0)</f>
        <v>No</v>
      </c>
    </row>
    <row r="265" spans="1:16" x14ac:dyDescent="0.3">
      <c r="A265" s="2" t="s">
        <v>1975</v>
      </c>
      <c r="B265" s="3">
        <v>43577</v>
      </c>
      <c r="C265" s="2" t="s">
        <v>1976</v>
      </c>
      <c r="D265" t="s">
        <v>6181</v>
      </c>
      <c r="E265" s="2">
        <v>4</v>
      </c>
      <c r="F265" s="2" t="str">
        <f>_xlfn.XLOOKUP(C265,Customers!$A$2:$A$1001,Customers!$B$2:$B$1001,0)</f>
        <v>Mar McIver</v>
      </c>
      <c r="G265" s="2" t="str">
        <f>IF(_xlfn.XLOOKUP(C265,Customers!$A$2:$A$1001,Customers!$C$2:$C$1001)=0,"",_xlfn.XLOOKUP(C265,Customers!$A$2:$A$1001,Customers!$C$2:$C$1001))</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_xlfn.XLOOKUP(Orders[[#This Row],[Customer ID]],Customers!$A$2:$A$1001,Customers!$I$2:$I$1001,0)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IF(_xlfn.XLOOKUP(C266,Customers!$A$2:$A$1001,Customers!$C$2:$C$1001)=0,"",_xlfn.XLOOKUP(C266,Customers!$A$2:$A$1001,Customers!$C$2:$C$1001))</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_xlfn.XLOOKUP(Orders[[#This Row],[Customer ID]],Customers!$A$2:$A$1001,Customers!$I$2:$I$1001,0)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IF(_xlfn.XLOOKUP(C267,Customers!$A$2:$A$1001,Customers!$C$2:$C$1001)=0,"",_xlfn.XLOOKUP(C267,Customers!$A$2:$A$1001,Customers!$C$2:$C$1001))</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_xlfn.XLOOKUP(Orders[[#This Row],[Customer ID]],Customers!$A$2:$A$1001,Customers!$I$2:$I$1001,0)</f>
        <v>Yes</v>
      </c>
    </row>
    <row r="268" spans="1:16" x14ac:dyDescent="0.3">
      <c r="A268" s="2" t="s">
        <v>1992</v>
      </c>
      <c r="B268" s="3">
        <v>44283</v>
      </c>
      <c r="C268" s="2" t="s">
        <v>1993</v>
      </c>
      <c r="D268" t="s">
        <v>6183</v>
      </c>
      <c r="E268" s="2">
        <v>2</v>
      </c>
      <c r="F268" s="2" t="str">
        <f>_xlfn.XLOOKUP(C268,Customers!$A$2:$A$1001,Customers!$B$2:$B$1001,0)</f>
        <v>Myles Seawright</v>
      </c>
      <c r="G268" s="2" t="str">
        <f>IF(_xlfn.XLOOKUP(C268,Customers!$A$2:$A$1001,Customers!$C$2:$C$1001)=0,"",_xlfn.XLOOKUP(C268,Customers!$A$2:$A$1001,Customers!$C$2:$C$1001))</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_xlfn.XLOOKUP(Orders[[#This Row],[Customer ID]],Customers!$A$2:$A$1001,Customers!$I$2:$I$1001,0)</f>
        <v>No</v>
      </c>
    </row>
    <row r="269" spans="1:16" x14ac:dyDescent="0.3">
      <c r="A269" s="2" t="s">
        <v>1998</v>
      </c>
      <c r="B269" s="3">
        <v>44324</v>
      </c>
      <c r="C269" s="2" t="s">
        <v>1999</v>
      </c>
      <c r="D269" t="s">
        <v>6153</v>
      </c>
      <c r="E269" s="2">
        <v>6</v>
      </c>
      <c r="F269" s="2" t="str">
        <f>_xlfn.XLOOKUP(C269,Customers!$A$2:$A$1001,Customers!$B$2:$B$1001,0)</f>
        <v>Silvana Northeast</v>
      </c>
      <c r="G269" s="2" t="str">
        <f>IF(_xlfn.XLOOKUP(C269,Customers!$A$2:$A$1001,Customers!$C$2:$C$1001)=0,"",_xlfn.XLOOKUP(C269,Customers!$A$2:$A$1001,Customers!$C$2:$C$1001))</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_xlfn.XLOOKUP(Orders[[#This Row],[Customer ID]],Customers!$A$2:$A$1001,Customers!$I$2:$I$1001,0)</f>
        <v>Yes</v>
      </c>
    </row>
    <row r="270" spans="1:16" x14ac:dyDescent="0.3">
      <c r="A270" s="2" t="s">
        <v>2004</v>
      </c>
      <c r="B270" s="3">
        <v>43790</v>
      </c>
      <c r="C270" s="2" t="s">
        <v>1672</v>
      </c>
      <c r="D270" t="s">
        <v>6147</v>
      </c>
      <c r="E270" s="2">
        <v>2</v>
      </c>
      <c r="F270" s="2" t="str">
        <f>_xlfn.XLOOKUP(C270,Customers!$A$2:$A$1001,Customers!$B$2:$B$1001,0)</f>
        <v>Anselma Attwater</v>
      </c>
      <c r="G270" s="2" t="str">
        <f>IF(_xlfn.XLOOKUP(C270,Customers!$A$2:$A$1001,Customers!$C$2:$C$1001)=0,"",_xlfn.XLOOKUP(C270,Customers!$A$2:$A$1001,Customers!$C$2:$C$1001))</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_xlfn.XLOOKUP(Orders[[#This Row],[Customer ID]],Customers!$A$2:$A$1001,Customers!$I$2:$I$1001,0)</f>
        <v>Yes</v>
      </c>
    </row>
    <row r="271" spans="1:16" x14ac:dyDescent="0.3">
      <c r="A271" s="2" t="s">
        <v>2009</v>
      </c>
      <c r="B271" s="3">
        <v>44333</v>
      </c>
      <c r="C271" s="2" t="s">
        <v>2010</v>
      </c>
      <c r="D271" t="s">
        <v>6154</v>
      </c>
      <c r="E271" s="2">
        <v>2</v>
      </c>
      <c r="F271" s="2" t="str">
        <f>_xlfn.XLOOKUP(C271,Customers!$A$2:$A$1001,Customers!$B$2:$B$1001,0)</f>
        <v>Monica Fearon</v>
      </c>
      <c r="G271" s="2" t="str">
        <f>IF(_xlfn.XLOOKUP(C271,Customers!$A$2:$A$1001,Customers!$C$2:$C$1001)=0,"",_xlfn.XLOOKUP(C271,Customers!$A$2:$A$1001,Customers!$C$2:$C$1001))</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_xlfn.XLOOKUP(Orders[[#This Row],[Customer ID]],Customers!$A$2:$A$1001,Customers!$I$2:$I$1001,0)</f>
        <v>No</v>
      </c>
    </row>
    <row r="272" spans="1:16" x14ac:dyDescent="0.3">
      <c r="A272" s="2" t="s">
        <v>2015</v>
      </c>
      <c r="B272" s="3">
        <v>43655</v>
      </c>
      <c r="C272" s="2" t="s">
        <v>2016</v>
      </c>
      <c r="D272" t="s">
        <v>6144</v>
      </c>
      <c r="E272" s="2">
        <v>1</v>
      </c>
      <c r="F272" s="2" t="str">
        <f>_xlfn.XLOOKUP(C272,Customers!$A$2:$A$1001,Customers!$B$2:$B$1001,0)</f>
        <v>Barney Chisnell</v>
      </c>
      <c r="G272" s="2" t="str">
        <f>IF(_xlfn.XLOOKUP(C272,Customers!$A$2:$A$1001,Customers!$C$2:$C$1001)=0,"",_xlfn.XLOOKUP(C272,Customers!$A$2:$A$1001,Customers!$C$2:$C$1001))</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_xlfn.XLOOKUP(Orders[[#This Row],[Customer ID]],Customers!$A$2:$A$1001,Customers!$I$2:$I$1001,0)</f>
        <v>Yes</v>
      </c>
    </row>
    <row r="273" spans="1:16" x14ac:dyDescent="0.3">
      <c r="A273" s="2" t="s">
        <v>2019</v>
      </c>
      <c r="B273" s="3">
        <v>43971</v>
      </c>
      <c r="C273" s="2" t="s">
        <v>2020</v>
      </c>
      <c r="D273" t="s">
        <v>6154</v>
      </c>
      <c r="E273" s="2">
        <v>4</v>
      </c>
      <c r="F273" s="2" t="str">
        <f>_xlfn.XLOOKUP(C273,Customers!$A$2:$A$1001,Customers!$B$2:$B$1001,0)</f>
        <v>Jasper Sisneros</v>
      </c>
      <c r="G273" s="2" t="str">
        <f>IF(_xlfn.XLOOKUP(C273,Customers!$A$2:$A$1001,Customers!$C$2:$C$1001)=0,"",_xlfn.XLOOKUP(C273,Customers!$A$2:$A$1001,Customers!$C$2:$C$1001))</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_xlfn.XLOOKUP(Orders[[#This Row],[Customer ID]],Customers!$A$2:$A$1001,Customers!$I$2:$I$1001,0)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IF(_xlfn.XLOOKUP(C274,Customers!$A$2:$A$1001,Customers!$C$2:$C$1001)=0,"",_xlfn.XLOOKUP(C274,Customers!$A$2:$A$1001,Customers!$C$2:$C$1001))</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_xlfn.XLOOKUP(Orders[[#This Row],[Customer ID]],Customers!$A$2:$A$1001,Customers!$I$2:$I$1001,0)</f>
        <v>Yes</v>
      </c>
    </row>
    <row r="275" spans="1:16" x14ac:dyDescent="0.3">
      <c r="A275" s="2" t="s">
        <v>2032</v>
      </c>
      <c r="B275" s="3">
        <v>44681</v>
      </c>
      <c r="C275" s="2" t="s">
        <v>2033</v>
      </c>
      <c r="D275" t="s">
        <v>6167</v>
      </c>
      <c r="E275" s="2">
        <v>2</v>
      </c>
      <c r="F275" s="2" t="str">
        <f>_xlfn.XLOOKUP(C275,Customers!$A$2:$A$1001,Customers!$B$2:$B$1001,0)</f>
        <v>Warner Maddox</v>
      </c>
      <c r="G275" s="2" t="str">
        <f>IF(_xlfn.XLOOKUP(C275,Customers!$A$2:$A$1001,Customers!$C$2:$C$1001)=0,"",_xlfn.XLOOKUP(C275,Customers!$A$2:$A$1001,Customers!$C$2:$C$1001))</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_xlfn.XLOOKUP(Orders[[#This Row],[Customer ID]],Customers!$A$2:$A$1001,Customers!$I$2:$I$1001,0)</f>
        <v>No</v>
      </c>
    </row>
    <row r="276" spans="1:16" x14ac:dyDescent="0.3">
      <c r="A276" s="2" t="s">
        <v>2038</v>
      </c>
      <c r="B276" s="3">
        <v>43985</v>
      </c>
      <c r="C276" s="2" t="s">
        <v>2039</v>
      </c>
      <c r="D276" t="s">
        <v>6175</v>
      </c>
      <c r="E276" s="2">
        <v>1</v>
      </c>
      <c r="F276" s="2" t="str">
        <f>_xlfn.XLOOKUP(C276,Customers!$A$2:$A$1001,Customers!$B$2:$B$1001,0)</f>
        <v>Donnie Hedlestone</v>
      </c>
      <c r="G276" s="2" t="str">
        <f>IF(_xlfn.XLOOKUP(C276,Customers!$A$2:$A$1001,Customers!$C$2:$C$1001)=0,"",_xlfn.XLOOKUP(C276,Customers!$A$2:$A$1001,Customers!$C$2:$C$1001))</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_xlfn.XLOOKUP(Orders[[#This Row],[Customer ID]],Customers!$A$2:$A$1001,Customers!$I$2:$I$1001,0)</f>
        <v>No</v>
      </c>
    </row>
    <row r="277" spans="1:16" x14ac:dyDescent="0.3">
      <c r="A277" s="2" t="s">
        <v>2044</v>
      </c>
      <c r="B277" s="3">
        <v>44725</v>
      </c>
      <c r="C277" s="2" t="s">
        <v>2045</v>
      </c>
      <c r="D277" t="s">
        <v>6148</v>
      </c>
      <c r="E277" s="2">
        <v>6</v>
      </c>
      <c r="F277" s="2" t="str">
        <f>_xlfn.XLOOKUP(C277,Customers!$A$2:$A$1001,Customers!$B$2:$B$1001,0)</f>
        <v>Teddi Crowthe</v>
      </c>
      <c r="G277" s="2" t="str">
        <f>IF(_xlfn.XLOOKUP(C277,Customers!$A$2:$A$1001,Customers!$C$2:$C$1001)=0,"",_xlfn.XLOOKUP(C277,Customers!$A$2:$A$1001,Customers!$C$2:$C$1001))</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_xlfn.XLOOKUP(Orders[[#This Row],[Customer ID]],Customers!$A$2:$A$1001,Customers!$I$2:$I$1001,0)</f>
        <v>No</v>
      </c>
    </row>
    <row r="278" spans="1:16" x14ac:dyDescent="0.3">
      <c r="A278" s="2" t="s">
        <v>2050</v>
      </c>
      <c r="B278" s="3">
        <v>43992</v>
      </c>
      <c r="C278" s="2" t="s">
        <v>2051</v>
      </c>
      <c r="D278" t="s">
        <v>6142</v>
      </c>
      <c r="E278" s="2">
        <v>4</v>
      </c>
      <c r="F278" s="2" t="str">
        <f>_xlfn.XLOOKUP(C278,Customers!$A$2:$A$1001,Customers!$B$2:$B$1001,0)</f>
        <v>Dorelia Bury</v>
      </c>
      <c r="G278" s="2" t="str">
        <f>IF(_xlfn.XLOOKUP(C278,Customers!$A$2:$A$1001,Customers!$C$2:$C$1001)=0,"",_xlfn.XLOOKUP(C278,Customers!$A$2:$A$1001,Customers!$C$2:$C$1001))</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_xlfn.XLOOKUP(Orders[[#This Row],[Customer ID]],Customers!$A$2:$A$1001,Customers!$I$2:$I$1001,0)</f>
        <v>Yes</v>
      </c>
    </row>
    <row r="279" spans="1:16" x14ac:dyDescent="0.3">
      <c r="A279" s="2" t="s">
        <v>2056</v>
      </c>
      <c r="B279" s="3">
        <v>44183</v>
      </c>
      <c r="C279" s="2" t="s">
        <v>2057</v>
      </c>
      <c r="D279" t="s">
        <v>6171</v>
      </c>
      <c r="E279" s="2">
        <v>6</v>
      </c>
      <c r="F279" s="2" t="str">
        <f>_xlfn.XLOOKUP(C279,Customers!$A$2:$A$1001,Customers!$B$2:$B$1001,0)</f>
        <v>Gussy Broadbear</v>
      </c>
      <c r="G279" s="2" t="str">
        <f>IF(_xlfn.XLOOKUP(C279,Customers!$A$2:$A$1001,Customers!$C$2:$C$1001)=0,"",_xlfn.XLOOKUP(C279,Customers!$A$2:$A$1001,Customers!$C$2:$C$1001))</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_xlfn.XLOOKUP(Orders[[#This Row],[Customer ID]],Customers!$A$2:$A$1001,Customers!$I$2:$I$1001,0)</f>
        <v>No</v>
      </c>
    </row>
    <row r="280" spans="1:16" x14ac:dyDescent="0.3">
      <c r="A280" s="2" t="s">
        <v>2062</v>
      </c>
      <c r="B280" s="3">
        <v>43708</v>
      </c>
      <c r="C280" s="2" t="s">
        <v>2063</v>
      </c>
      <c r="D280" t="s">
        <v>6167</v>
      </c>
      <c r="E280" s="2">
        <v>2</v>
      </c>
      <c r="F280" s="2" t="str">
        <f>_xlfn.XLOOKUP(C280,Customers!$A$2:$A$1001,Customers!$B$2:$B$1001,0)</f>
        <v>Emlynne Palfrey</v>
      </c>
      <c r="G280" s="2" t="str">
        <f>IF(_xlfn.XLOOKUP(C280,Customers!$A$2:$A$1001,Customers!$C$2:$C$1001)=0,"",_xlfn.XLOOKUP(C280,Customers!$A$2:$A$1001,Customers!$C$2:$C$1001))</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_xlfn.XLOOKUP(Orders[[#This Row],[Customer ID]],Customers!$A$2:$A$1001,Customers!$I$2:$I$1001,0)</f>
        <v>Yes</v>
      </c>
    </row>
    <row r="281" spans="1:16" x14ac:dyDescent="0.3">
      <c r="A281" s="2" t="s">
        <v>2068</v>
      </c>
      <c r="B281" s="3">
        <v>43521</v>
      </c>
      <c r="C281" s="2" t="s">
        <v>2069</v>
      </c>
      <c r="D281" t="s">
        <v>6181</v>
      </c>
      <c r="E281" s="2">
        <v>1</v>
      </c>
      <c r="F281" s="2" t="str">
        <f>_xlfn.XLOOKUP(C281,Customers!$A$2:$A$1001,Customers!$B$2:$B$1001,0)</f>
        <v>Parsifal Metrick</v>
      </c>
      <c r="G281" s="2" t="str">
        <f>IF(_xlfn.XLOOKUP(C281,Customers!$A$2:$A$1001,Customers!$C$2:$C$1001)=0,"",_xlfn.XLOOKUP(C281,Customers!$A$2:$A$1001,Customers!$C$2:$C$1001))</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_xlfn.XLOOKUP(Orders[[#This Row],[Customer ID]],Customers!$A$2:$A$1001,Customers!$I$2:$I$1001,0)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IF(_xlfn.XLOOKUP(C282,Customers!$A$2:$A$1001,Customers!$C$2:$C$1001)=0,"",_xlfn.XLOOKUP(C282,Customers!$A$2:$A$1001,Customers!$C$2:$C$1001))</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_xlfn.XLOOKUP(Orders[[#This Row],[Customer ID]],Customers!$A$2:$A$1001,Customers!$I$2:$I$1001,0)</f>
        <v>Yes</v>
      </c>
    </row>
    <row r="283" spans="1:16" x14ac:dyDescent="0.3">
      <c r="A283" s="2" t="s">
        <v>2079</v>
      </c>
      <c r="B283" s="3">
        <v>44210</v>
      </c>
      <c r="C283" s="2" t="s">
        <v>2080</v>
      </c>
      <c r="D283" t="s">
        <v>6171</v>
      </c>
      <c r="E283" s="2">
        <v>4</v>
      </c>
      <c r="F283" s="2" t="str">
        <f>_xlfn.XLOOKUP(C283,Customers!$A$2:$A$1001,Customers!$B$2:$B$1001,0)</f>
        <v>Karlan Karby</v>
      </c>
      <c r="G283" s="2" t="str">
        <f>IF(_xlfn.XLOOKUP(C283,Customers!$A$2:$A$1001,Customers!$C$2:$C$1001)=0,"",_xlfn.XLOOKUP(C283,Customers!$A$2:$A$1001,Customers!$C$2:$C$1001))</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_xlfn.XLOOKUP(Orders[[#This Row],[Customer ID]],Customers!$A$2:$A$1001,Customers!$I$2:$I$1001,0)</f>
        <v>Yes</v>
      </c>
    </row>
    <row r="284" spans="1:16" x14ac:dyDescent="0.3">
      <c r="A284" s="2" t="s">
        <v>2085</v>
      </c>
      <c r="B284" s="3">
        <v>43520</v>
      </c>
      <c r="C284" s="2" t="s">
        <v>2086</v>
      </c>
      <c r="D284" t="s">
        <v>6180</v>
      </c>
      <c r="E284" s="2">
        <v>1</v>
      </c>
      <c r="F284" s="2" t="str">
        <f>_xlfn.XLOOKUP(C284,Customers!$A$2:$A$1001,Customers!$B$2:$B$1001,0)</f>
        <v>Flory Crumpe</v>
      </c>
      <c r="G284" s="2" t="str">
        <f>IF(_xlfn.XLOOKUP(C284,Customers!$A$2:$A$1001,Customers!$C$2:$C$1001)=0,"",_xlfn.XLOOKUP(C284,Customers!$A$2:$A$1001,Customers!$C$2:$C$1001))</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_xlfn.XLOOKUP(Orders[[#This Row],[Customer ID]],Customers!$A$2:$A$1001,Customers!$I$2:$I$1001,0)</f>
        <v>No</v>
      </c>
    </row>
    <row r="285" spans="1:16" x14ac:dyDescent="0.3">
      <c r="A285" s="2" t="s">
        <v>2091</v>
      </c>
      <c r="B285" s="3">
        <v>43639</v>
      </c>
      <c r="C285" s="2" t="s">
        <v>2092</v>
      </c>
      <c r="D285" t="s">
        <v>6172</v>
      </c>
      <c r="E285" s="2">
        <v>1</v>
      </c>
      <c r="F285" s="2" t="str">
        <f>_xlfn.XLOOKUP(C285,Customers!$A$2:$A$1001,Customers!$B$2:$B$1001,0)</f>
        <v>Amity Chatto</v>
      </c>
      <c r="G285" s="2" t="str">
        <f>IF(_xlfn.XLOOKUP(C285,Customers!$A$2:$A$1001,Customers!$C$2:$C$1001)=0,"",_xlfn.XLOOKUP(C285,Customers!$A$2:$A$1001,Customers!$C$2:$C$1001))</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_xlfn.XLOOKUP(Orders[[#This Row],[Customer ID]],Customers!$A$2:$A$1001,Customers!$I$2:$I$1001,0)</f>
        <v>Yes</v>
      </c>
    </row>
    <row r="286" spans="1:16" x14ac:dyDescent="0.3">
      <c r="A286" s="2" t="s">
        <v>2097</v>
      </c>
      <c r="B286" s="3">
        <v>43960</v>
      </c>
      <c r="C286" s="2" t="s">
        <v>2098</v>
      </c>
      <c r="D286" t="s">
        <v>6166</v>
      </c>
      <c r="E286" s="2">
        <v>3</v>
      </c>
      <c r="F286" s="2" t="str">
        <f>_xlfn.XLOOKUP(C286,Customers!$A$2:$A$1001,Customers!$B$2:$B$1001,0)</f>
        <v>Nanine McCarthy</v>
      </c>
      <c r="G286" s="2" t="str">
        <f>IF(_xlfn.XLOOKUP(C286,Customers!$A$2:$A$1001,Customers!$C$2:$C$1001)=0,"",_xlfn.XLOOKUP(C286,Customers!$A$2:$A$1001,Customers!$C$2:$C$1001))</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_xlfn.XLOOKUP(Orders[[#This Row],[Customer ID]],Customers!$A$2:$A$1001,Customers!$I$2:$I$1001,0)</f>
        <v>No</v>
      </c>
    </row>
    <row r="287" spans="1:16" x14ac:dyDescent="0.3">
      <c r="A287" s="2" t="s">
        <v>2102</v>
      </c>
      <c r="B287" s="3">
        <v>44030</v>
      </c>
      <c r="C287" s="2" t="s">
        <v>2103</v>
      </c>
      <c r="D287" t="s">
        <v>6164</v>
      </c>
      <c r="E287" s="2">
        <v>1</v>
      </c>
      <c r="F287" s="2" t="str">
        <f>_xlfn.XLOOKUP(C287,Customers!$A$2:$A$1001,Customers!$B$2:$B$1001,0)</f>
        <v>Lyndsey Megany</v>
      </c>
      <c r="G287" s="2" t="str">
        <f>IF(_xlfn.XLOOKUP(C287,Customers!$A$2:$A$1001,Customers!$C$2:$C$1001)=0,"",_xlfn.XLOOKUP(C287,Customers!$A$2:$A$1001,Customers!$C$2:$C$1001))</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_xlfn.XLOOKUP(Orders[[#This Row],[Customer ID]],Customers!$A$2:$A$1001,Customers!$I$2:$I$1001,0)</f>
        <v>No</v>
      </c>
    </row>
    <row r="288" spans="1:16" x14ac:dyDescent="0.3">
      <c r="A288" s="2" t="s">
        <v>2107</v>
      </c>
      <c r="B288" s="3">
        <v>43755</v>
      </c>
      <c r="C288" s="2" t="s">
        <v>2108</v>
      </c>
      <c r="D288" t="s">
        <v>6152</v>
      </c>
      <c r="E288" s="2">
        <v>4</v>
      </c>
      <c r="F288" s="2" t="str">
        <f>_xlfn.XLOOKUP(C288,Customers!$A$2:$A$1001,Customers!$B$2:$B$1001,0)</f>
        <v>Byram Mergue</v>
      </c>
      <c r="G288" s="2" t="str">
        <f>IF(_xlfn.XLOOKUP(C288,Customers!$A$2:$A$1001,Customers!$C$2:$C$1001)=0,"",_xlfn.XLOOKUP(C288,Customers!$A$2:$A$1001,Customers!$C$2:$C$1001))</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_xlfn.XLOOKUP(Orders[[#This Row],[Customer ID]],Customers!$A$2:$A$1001,Customers!$I$2:$I$1001,0)</f>
        <v>Yes</v>
      </c>
    </row>
    <row r="289" spans="1:16" x14ac:dyDescent="0.3">
      <c r="A289" s="2" t="s">
        <v>2112</v>
      </c>
      <c r="B289" s="3">
        <v>44697</v>
      </c>
      <c r="C289" s="2" t="s">
        <v>2113</v>
      </c>
      <c r="D289" t="s">
        <v>6178</v>
      </c>
      <c r="E289" s="2">
        <v>4</v>
      </c>
      <c r="F289" s="2" t="str">
        <f>_xlfn.XLOOKUP(C289,Customers!$A$2:$A$1001,Customers!$B$2:$B$1001,0)</f>
        <v>Kerr Patise</v>
      </c>
      <c r="G289" s="2" t="str">
        <f>IF(_xlfn.XLOOKUP(C289,Customers!$A$2:$A$1001,Customers!$C$2:$C$1001)=0,"",_xlfn.XLOOKUP(C289,Customers!$A$2:$A$1001,Customers!$C$2:$C$1001))</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_xlfn.XLOOKUP(Orders[[#This Row],[Customer ID]],Customers!$A$2:$A$1001,Customers!$I$2:$I$1001,0)</f>
        <v>No</v>
      </c>
    </row>
    <row r="290" spans="1:16" x14ac:dyDescent="0.3">
      <c r="A290" s="2" t="s">
        <v>2118</v>
      </c>
      <c r="B290" s="3">
        <v>44279</v>
      </c>
      <c r="C290" s="2" t="s">
        <v>2119</v>
      </c>
      <c r="D290" t="s">
        <v>6139</v>
      </c>
      <c r="E290" s="2">
        <v>1</v>
      </c>
      <c r="F290" s="2" t="str">
        <f>_xlfn.XLOOKUP(C290,Customers!$A$2:$A$1001,Customers!$B$2:$B$1001,0)</f>
        <v>Mathew Goulter</v>
      </c>
      <c r="G290" s="2" t="str">
        <f>IF(_xlfn.XLOOKUP(C290,Customers!$A$2:$A$1001,Customers!$C$2:$C$1001)=0,"",_xlfn.XLOOKUP(C290,Customers!$A$2:$A$1001,Customers!$C$2:$C$1001))</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_xlfn.XLOOKUP(Orders[[#This Row],[Customer ID]],Customers!$A$2:$A$1001,Customers!$I$2:$I$1001,0)</f>
        <v>Yes</v>
      </c>
    </row>
    <row r="291" spans="1:16" x14ac:dyDescent="0.3">
      <c r="A291" s="2" t="s">
        <v>2123</v>
      </c>
      <c r="B291" s="3">
        <v>43772</v>
      </c>
      <c r="C291" s="2" t="s">
        <v>2124</v>
      </c>
      <c r="D291" t="s">
        <v>6163</v>
      </c>
      <c r="E291" s="2">
        <v>5</v>
      </c>
      <c r="F291" s="2" t="str">
        <f>_xlfn.XLOOKUP(C291,Customers!$A$2:$A$1001,Customers!$B$2:$B$1001,0)</f>
        <v>Marris Grcic</v>
      </c>
      <c r="G291" s="2" t="str">
        <f>IF(_xlfn.XLOOKUP(C291,Customers!$A$2:$A$1001,Customers!$C$2:$C$1001)=0,"",_xlfn.XLOOKUP(C291,Customers!$A$2:$A$1001,Customers!$C$2:$C$1001))</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_xlfn.XLOOKUP(Orders[[#This Row],[Customer ID]],Customers!$A$2:$A$1001,Customers!$I$2:$I$1001,0)</f>
        <v>Yes</v>
      </c>
    </row>
    <row r="292" spans="1:16" x14ac:dyDescent="0.3">
      <c r="A292" s="2" t="s">
        <v>2127</v>
      </c>
      <c r="B292" s="3">
        <v>44497</v>
      </c>
      <c r="C292" s="2" t="s">
        <v>2128</v>
      </c>
      <c r="D292" t="s">
        <v>6147</v>
      </c>
      <c r="E292" s="2">
        <v>5</v>
      </c>
      <c r="F292" s="2" t="str">
        <f>_xlfn.XLOOKUP(C292,Customers!$A$2:$A$1001,Customers!$B$2:$B$1001,0)</f>
        <v>Domeniga Duke</v>
      </c>
      <c r="G292" s="2" t="str">
        <f>IF(_xlfn.XLOOKUP(C292,Customers!$A$2:$A$1001,Customers!$C$2:$C$1001)=0,"",_xlfn.XLOOKUP(C292,Customers!$A$2:$A$1001,Customers!$C$2:$C$1001))</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_xlfn.XLOOKUP(Orders[[#This Row],[Customer ID]],Customers!$A$2:$A$1001,Customers!$I$2:$I$1001,0)</f>
        <v>No</v>
      </c>
    </row>
    <row r="293" spans="1:16" x14ac:dyDescent="0.3">
      <c r="A293" s="2" t="s">
        <v>2133</v>
      </c>
      <c r="B293" s="3">
        <v>44181</v>
      </c>
      <c r="C293" s="2" t="s">
        <v>2134</v>
      </c>
      <c r="D293" t="s">
        <v>6139</v>
      </c>
      <c r="E293" s="2">
        <v>2</v>
      </c>
      <c r="F293" s="2" t="str">
        <f>_xlfn.XLOOKUP(C293,Customers!$A$2:$A$1001,Customers!$B$2:$B$1001,0)</f>
        <v>Violante Skouling</v>
      </c>
      <c r="G293" s="2" t="str">
        <f>IF(_xlfn.XLOOKUP(C293,Customers!$A$2:$A$1001,Customers!$C$2:$C$1001)=0,"",_xlfn.XLOOKUP(C293,Customers!$A$2:$A$1001,Customers!$C$2:$C$1001))</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_xlfn.XLOOKUP(Orders[[#This Row],[Customer ID]],Customers!$A$2:$A$1001,Customers!$I$2:$I$1001,0)</f>
        <v>No</v>
      </c>
    </row>
    <row r="294" spans="1:16" x14ac:dyDescent="0.3">
      <c r="A294" s="2" t="s">
        <v>2137</v>
      </c>
      <c r="B294" s="3">
        <v>44529</v>
      </c>
      <c r="C294" s="2" t="s">
        <v>2138</v>
      </c>
      <c r="D294" t="s">
        <v>6158</v>
      </c>
      <c r="E294" s="2">
        <v>3</v>
      </c>
      <c r="F294" s="2" t="str">
        <f>_xlfn.XLOOKUP(C294,Customers!$A$2:$A$1001,Customers!$B$2:$B$1001,0)</f>
        <v>Isidore Hussey</v>
      </c>
      <c r="G294" s="2" t="str">
        <f>IF(_xlfn.XLOOKUP(C294,Customers!$A$2:$A$1001,Customers!$C$2:$C$1001)=0,"",_xlfn.XLOOKUP(C294,Customers!$A$2:$A$1001,Customers!$C$2:$C$1001))</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_xlfn.XLOOKUP(Orders[[#This Row],[Customer ID]],Customers!$A$2:$A$1001,Customers!$I$2:$I$1001,0)</f>
        <v>No</v>
      </c>
    </row>
    <row r="295" spans="1:16" x14ac:dyDescent="0.3">
      <c r="A295" s="2" t="s">
        <v>2142</v>
      </c>
      <c r="B295" s="3">
        <v>44275</v>
      </c>
      <c r="C295" s="2" t="s">
        <v>2143</v>
      </c>
      <c r="D295" t="s">
        <v>6158</v>
      </c>
      <c r="E295" s="2">
        <v>5</v>
      </c>
      <c r="F295" s="2" t="str">
        <f>_xlfn.XLOOKUP(C295,Customers!$A$2:$A$1001,Customers!$B$2:$B$1001,0)</f>
        <v>Cassie Pinkerton</v>
      </c>
      <c r="G295" s="2" t="str">
        <f>IF(_xlfn.XLOOKUP(C295,Customers!$A$2:$A$1001,Customers!$C$2:$C$1001)=0,"",_xlfn.XLOOKUP(C295,Customers!$A$2:$A$1001,Customers!$C$2:$C$1001))</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_xlfn.XLOOKUP(Orders[[#This Row],[Customer ID]],Customers!$A$2:$A$1001,Customers!$I$2:$I$1001,0)</f>
        <v>No</v>
      </c>
    </row>
    <row r="296" spans="1:16" x14ac:dyDescent="0.3">
      <c r="A296" s="2" t="s">
        <v>2148</v>
      </c>
      <c r="B296" s="3">
        <v>44659</v>
      </c>
      <c r="C296" s="2" t="s">
        <v>2149</v>
      </c>
      <c r="D296" t="s">
        <v>6171</v>
      </c>
      <c r="E296" s="2">
        <v>3</v>
      </c>
      <c r="F296" s="2" t="str">
        <f>_xlfn.XLOOKUP(C296,Customers!$A$2:$A$1001,Customers!$B$2:$B$1001,0)</f>
        <v>Micki Fero</v>
      </c>
      <c r="G296" s="2" t="str">
        <f>IF(_xlfn.XLOOKUP(C296,Customers!$A$2:$A$1001,Customers!$C$2:$C$1001)=0,"",_xlfn.XLOOKUP(C296,Customers!$A$2:$A$1001,Customers!$C$2:$C$1001))</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_xlfn.XLOOKUP(Orders[[#This Row],[Customer ID]],Customers!$A$2:$A$1001,Customers!$I$2:$I$1001,0)</f>
        <v>No</v>
      </c>
    </row>
    <row r="297" spans="1:16" x14ac:dyDescent="0.3">
      <c r="A297" s="2" t="s">
        <v>2153</v>
      </c>
      <c r="B297" s="3">
        <v>44057</v>
      </c>
      <c r="C297" s="2" t="s">
        <v>2154</v>
      </c>
      <c r="D297" t="s">
        <v>6141</v>
      </c>
      <c r="E297" s="2">
        <v>2</v>
      </c>
      <c r="F297" s="2" t="str">
        <f>_xlfn.XLOOKUP(C297,Customers!$A$2:$A$1001,Customers!$B$2:$B$1001,0)</f>
        <v>Cybill Graddell</v>
      </c>
      <c r="G297" s="2" t="str">
        <f>IF(_xlfn.XLOOKUP(C297,Customers!$A$2:$A$1001,Customers!$C$2:$C$1001)=0,"",_xlfn.XLOOKUP(C297,Customers!$A$2:$A$1001,Customers!$C$2:$C$1001))</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_xlfn.XLOOKUP(Orders[[#This Row],[Customer ID]],Customers!$A$2:$A$1001,Customers!$I$2:$I$1001,0)</f>
        <v>No</v>
      </c>
    </row>
    <row r="298" spans="1:16" x14ac:dyDescent="0.3">
      <c r="A298" s="2" t="s">
        <v>2157</v>
      </c>
      <c r="B298" s="3">
        <v>43597</v>
      </c>
      <c r="C298" s="2" t="s">
        <v>2158</v>
      </c>
      <c r="D298" t="s">
        <v>6146</v>
      </c>
      <c r="E298" s="2">
        <v>6</v>
      </c>
      <c r="F298" s="2" t="str">
        <f>_xlfn.XLOOKUP(C298,Customers!$A$2:$A$1001,Customers!$B$2:$B$1001,0)</f>
        <v>Dorian Vizor</v>
      </c>
      <c r="G298" s="2" t="str">
        <f>IF(_xlfn.XLOOKUP(C298,Customers!$A$2:$A$1001,Customers!$C$2:$C$1001)=0,"",_xlfn.XLOOKUP(C298,Customers!$A$2:$A$1001,Customers!$C$2:$C$1001))</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_xlfn.XLOOKUP(Orders[[#This Row],[Customer ID]],Customers!$A$2:$A$1001,Customers!$I$2:$I$1001,0)</f>
        <v>Yes</v>
      </c>
    </row>
    <row r="299" spans="1:16" x14ac:dyDescent="0.3">
      <c r="A299" s="2" t="s">
        <v>2163</v>
      </c>
      <c r="B299" s="3">
        <v>44258</v>
      </c>
      <c r="C299" s="2" t="s">
        <v>2164</v>
      </c>
      <c r="D299" t="s">
        <v>6172</v>
      </c>
      <c r="E299" s="2">
        <v>3</v>
      </c>
      <c r="F299" s="2" t="str">
        <f>_xlfn.XLOOKUP(C299,Customers!$A$2:$A$1001,Customers!$B$2:$B$1001,0)</f>
        <v>Eddi Sedgebeer</v>
      </c>
      <c r="G299" s="2" t="str">
        <f>IF(_xlfn.XLOOKUP(C299,Customers!$A$2:$A$1001,Customers!$C$2:$C$1001)=0,"",_xlfn.XLOOKUP(C299,Customers!$A$2:$A$1001,Customers!$C$2:$C$1001))</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_xlfn.XLOOKUP(Orders[[#This Row],[Customer ID]],Customers!$A$2:$A$1001,Customers!$I$2:$I$1001,0)</f>
        <v>Yes</v>
      </c>
    </row>
    <row r="300" spans="1:16" x14ac:dyDescent="0.3">
      <c r="A300" s="2" t="s">
        <v>2169</v>
      </c>
      <c r="B300" s="3">
        <v>43872</v>
      </c>
      <c r="C300" s="2" t="s">
        <v>2170</v>
      </c>
      <c r="D300" t="s">
        <v>6184</v>
      </c>
      <c r="E300" s="2">
        <v>6</v>
      </c>
      <c r="F300" s="2" t="str">
        <f>_xlfn.XLOOKUP(C300,Customers!$A$2:$A$1001,Customers!$B$2:$B$1001,0)</f>
        <v>Ken Lestrange</v>
      </c>
      <c r="G300" s="2" t="str">
        <f>IF(_xlfn.XLOOKUP(C300,Customers!$A$2:$A$1001,Customers!$C$2:$C$1001)=0,"",_xlfn.XLOOKUP(C300,Customers!$A$2:$A$1001,Customers!$C$2:$C$1001))</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_xlfn.XLOOKUP(Orders[[#This Row],[Customer ID]],Customers!$A$2:$A$1001,Customers!$I$2:$I$1001,0)</f>
        <v>Yes</v>
      </c>
    </row>
    <row r="301" spans="1:16" x14ac:dyDescent="0.3">
      <c r="A301" s="2" t="s">
        <v>2175</v>
      </c>
      <c r="B301" s="3">
        <v>43582</v>
      </c>
      <c r="C301" s="2" t="s">
        <v>2176</v>
      </c>
      <c r="D301" t="s">
        <v>6148</v>
      </c>
      <c r="E301" s="2">
        <v>6</v>
      </c>
      <c r="F301" s="2" t="str">
        <f>_xlfn.XLOOKUP(C301,Customers!$A$2:$A$1001,Customers!$B$2:$B$1001,0)</f>
        <v>Lacee Tanti</v>
      </c>
      <c r="G301" s="2" t="str">
        <f>IF(_xlfn.XLOOKUP(C301,Customers!$A$2:$A$1001,Customers!$C$2:$C$1001)=0,"",_xlfn.XLOOKUP(C301,Customers!$A$2:$A$1001,Customers!$C$2:$C$1001))</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_xlfn.XLOOKUP(Orders[[#This Row],[Customer ID]],Customers!$A$2:$A$1001,Customers!$I$2:$I$1001,0)</f>
        <v>Yes</v>
      </c>
    </row>
    <row r="302" spans="1:16" x14ac:dyDescent="0.3">
      <c r="A302" s="2" t="s">
        <v>2181</v>
      </c>
      <c r="B302" s="3">
        <v>44646</v>
      </c>
      <c r="C302" s="2" t="s">
        <v>2182</v>
      </c>
      <c r="D302" t="s">
        <v>6140</v>
      </c>
      <c r="E302" s="2">
        <v>3</v>
      </c>
      <c r="F302" s="2" t="str">
        <f>_xlfn.XLOOKUP(C302,Customers!$A$2:$A$1001,Customers!$B$2:$B$1001,0)</f>
        <v>Arel De Lasci</v>
      </c>
      <c r="G302" s="2" t="str">
        <f>IF(_xlfn.XLOOKUP(C302,Customers!$A$2:$A$1001,Customers!$C$2:$C$1001)=0,"",_xlfn.XLOOKUP(C302,Customers!$A$2:$A$1001,Customers!$C$2:$C$1001))</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_xlfn.XLOOKUP(Orders[[#This Row],[Customer ID]],Customers!$A$2:$A$1001,Customers!$I$2:$I$1001,0)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IF(_xlfn.XLOOKUP(C303,Customers!$A$2:$A$1001,Customers!$C$2:$C$1001)=0,"",_xlfn.XLOOKUP(C303,Customers!$A$2:$A$1001,Customers!$C$2:$C$1001))</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_xlfn.XLOOKUP(Orders[[#This Row],[Customer ID]],Customers!$A$2:$A$1001,Customers!$I$2:$I$1001,0)</f>
        <v>Yes</v>
      </c>
    </row>
    <row r="304" spans="1:16" x14ac:dyDescent="0.3">
      <c r="A304" s="2" t="s">
        <v>2193</v>
      </c>
      <c r="B304" s="3">
        <v>43762</v>
      </c>
      <c r="C304" s="2" t="s">
        <v>2194</v>
      </c>
      <c r="D304" t="s">
        <v>6157</v>
      </c>
      <c r="E304" s="2">
        <v>1</v>
      </c>
      <c r="F304" s="2" t="str">
        <f>_xlfn.XLOOKUP(C304,Customers!$A$2:$A$1001,Customers!$B$2:$B$1001,0)</f>
        <v>Perkin Stonner</v>
      </c>
      <c r="G304" s="2" t="str">
        <f>IF(_xlfn.XLOOKUP(C304,Customers!$A$2:$A$1001,Customers!$C$2:$C$1001)=0,"",_xlfn.XLOOKUP(C304,Customers!$A$2:$A$1001,Customers!$C$2:$C$1001))</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_xlfn.XLOOKUP(Orders[[#This Row],[Customer ID]],Customers!$A$2:$A$1001,Customers!$I$2:$I$1001,0)</f>
        <v>No</v>
      </c>
    </row>
    <row r="305" spans="1:16" x14ac:dyDescent="0.3">
      <c r="A305" s="2" t="s">
        <v>2199</v>
      </c>
      <c r="B305" s="3">
        <v>44412</v>
      </c>
      <c r="C305" s="2" t="s">
        <v>2200</v>
      </c>
      <c r="D305" t="s">
        <v>6185</v>
      </c>
      <c r="E305" s="2">
        <v>4</v>
      </c>
      <c r="F305" s="2" t="str">
        <f>_xlfn.XLOOKUP(C305,Customers!$A$2:$A$1001,Customers!$B$2:$B$1001,0)</f>
        <v>Darrin Tingly</v>
      </c>
      <c r="G305" s="2" t="str">
        <f>IF(_xlfn.XLOOKUP(C305,Customers!$A$2:$A$1001,Customers!$C$2:$C$1001)=0,"",_xlfn.XLOOKUP(C305,Customers!$A$2:$A$1001,Customers!$C$2:$C$1001))</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_xlfn.XLOOKUP(Orders[[#This Row],[Customer ID]],Customers!$A$2:$A$1001,Customers!$I$2:$I$1001,0)</f>
        <v>Yes</v>
      </c>
    </row>
    <row r="306" spans="1:16" x14ac:dyDescent="0.3">
      <c r="A306" s="2" t="s">
        <v>2204</v>
      </c>
      <c r="B306" s="3">
        <v>43828</v>
      </c>
      <c r="C306" s="2" t="s">
        <v>2245</v>
      </c>
      <c r="D306" t="s">
        <v>6167</v>
      </c>
      <c r="E306" s="2">
        <v>1</v>
      </c>
      <c r="F306" s="2" t="str">
        <f>_xlfn.XLOOKUP(C306,Customers!$A$2:$A$1001,Customers!$B$2:$B$1001,0)</f>
        <v>Claudetta Rushe</v>
      </c>
      <c r="G306" s="2" t="str">
        <f>IF(_xlfn.XLOOKUP(C306,Customers!$A$2:$A$1001,Customers!$C$2:$C$1001)=0,"",_xlfn.XLOOKUP(C306,Customers!$A$2:$A$1001,Customers!$C$2:$C$1001))</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_xlfn.XLOOKUP(Orders[[#This Row],[Customer ID]],Customers!$A$2:$A$1001,Customers!$I$2:$I$1001,0)</f>
        <v>Yes</v>
      </c>
    </row>
    <row r="307" spans="1:16" x14ac:dyDescent="0.3">
      <c r="A307" s="2" t="s">
        <v>2209</v>
      </c>
      <c r="B307" s="3">
        <v>43796</v>
      </c>
      <c r="C307" s="2" t="s">
        <v>2210</v>
      </c>
      <c r="D307" t="s">
        <v>6159</v>
      </c>
      <c r="E307" s="2">
        <v>5</v>
      </c>
      <c r="F307" s="2" t="str">
        <f>_xlfn.XLOOKUP(C307,Customers!$A$2:$A$1001,Customers!$B$2:$B$1001,0)</f>
        <v>Benn Checci</v>
      </c>
      <c r="G307" s="2" t="str">
        <f>IF(_xlfn.XLOOKUP(C307,Customers!$A$2:$A$1001,Customers!$C$2:$C$1001)=0,"",_xlfn.XLOOKUP(C307,Customers!$A$2:$A$1001,Customers!$C$2:$C$1001))</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_xlfn.XLOOKUP(Orders[[#This Row],[Customer ID]],Customers!$A$2:$A$1001,Customers!$I$2:$I$1001,0)</f>
        <v>No</v>
      </c>
    </row>
    <row r="308" spans="1:16" x14ac:dyDescent="0.3">
      <c r="A308" s="2" t="s">
        <v>2215</v>
      </c>
      <c r="B308" s="3">
        <v>43890</v>
      </c>
      <c r="C308" s="2" t="s">
        <v>2216</v>
      </c>
      <c r="D308" t="s">
        <v>6174</v>
      </c>
      <c r="E308" s="2">
        <v>5</v>
      </c>
      <c r="F308" s="2" t="str">
        <f>_xlfn.XLOOKUP(C308,Customers!$A$2:$A$1001,Customers!$B$2:$B$1001,0)</f>
        <v>Janifer Bagot</v>
      </c>
      <c r="G308" s="2" t="str">
        <f>IF(_xlfn.XLOOKUP(C308,Customers!$A$2:$A$1001,Customers!$C$2:$C$1001)=0,"",_xlfn.XLOOKUP(C308,Customers!$A$2:$A$1001,Customers!$C$2:$C$1001))</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_xlfn.XLOOKUP(Orders[[#This Row],[Customer ID]],Customers!$A$2:$A$1001,Customers!$I$2:$I$1001,0)</f>
        <v>No</v>
      </c>
    </row>
    <row r="309" spans="1:16" x14ac:dyDescent="0.3">
      <c r="A309" s="2" t="s">
        <v>2221</v>
      </c>
      <c r="B309" s="3">
        <v>44227</v>
      </c>
      <c r="C309" s="2" t="s">
        <v>2222</v>
      </c>
      <c r="D309" t="s">
        <v>6155</v>
      </c>
      <c r="E309" s="2">
        <v>3</v>
      </c>
      <c r="F309" s="2" t="str">
        <f>_xlfn.XLOOKUP(C309,Customers!$A$2:$A$1001,Customers!$B$2:$B$1001,0)</f>
        <v>Ermin Beeble</v>
      </c>
      <c r="G309" s="2" t="str">
        <f>IF(_xlfn.XLOOKUP(C309,Customers!$A$2:$A$1001,Customers!$C$2:$C$1001)=0,"",_xlfn.XLOOKUP(C309,Customers!$A$2:$A$1001,Customers!$C$2:$C$1001))</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_xlfn.XLOOKUP(Orders[[#This Row],[Customer ID]],Customers!$A$2:$A$1001,Customers!$I$2:$I$1001,0)</f>
        <v>Yes</v>
      </c>
    </row>
    <row r="310" spans="1:16" x14ac:dyDescent="0.3">
      <c r="A310" s="2" t="s">
        <v>2227</v>
      </c>
      <c r="B310" s="3">
        <v>44729</v>
      </c>
      <c r="C310" s="2" t="s">
        <v>2228</v>
      </c>
      <c r="D310" t="s">
        <v>6155</v>
      </c>
      <c r="E310" s="2">
        <v>3</v>
      </c>
      <c r="F310" s="2" t="str">
        <f>_xlfn.XLOOKUP(C310,Customers!$A$2:$A$1001,Customers!$B$2:$B$1001,0)</f>
        <v>Cos Fluin</v>
      </c>
      <c r="G310" s="2" t="str">
        <f>IF(_xlfn.XLOOKUP(C310,Customers!$A$2:$A$1001,Customers!$C$2:$C$1001)=0,"",_xlfn.XLOOKUP(C310,Customers!$A$2:$A$1001,Customers!$C$2:$C$1001))</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_xlfn.XLOOKUP(Orders[[#This Row],[Customer ID]],Customers!$A$2:$A$1001,Customers!$I$2:$I$1001,0)</f>
        <v>No</v>
      </c>
    </row>
    <row r="311" spans="1:16" x14ac:dyDescent="0.3">
      <c r="A311" s="2" t="s">
        <v>2232</v>
      </c>
      <c r="B311" s="3">
        <v>43864</v>
      </c>
      <c r="C311" s="2" t="s">
        <v>2233</v>
      </c>
      <c r="D311" t="s">
        <v>6159</v>
      </c>
      <c r="E311" s="2">
        <v>6</v>
      </c>
      <c r="F311" s="2" t="str">
        <f>_xlfn.XLOOKUP(C311,Customers!$A$2:$A$1001,Customers!$B$2:$B$1001,0)</f>
        <v>Eveleen Bletsor</v>
      </c>
      <c r="G311" s="2" t="str">
        <f>IF(_xlfn.XLOOKUP(C311,Customers!$A$2:$A$1001,Customers!$C$2:$C$1001)=0,"",_xlfn.XLOOKUP(C311,Customers!$A$2:$A$1001,Customers!$C$2:$C$1001))</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_xlfn.XLOOKUP(Orders[[#This Row],[Customer ID]],Customers!$A$2:$A$1001,Customers!$I$2:$I$1001,0)</f>
        <v>Yes</v>
      </c>
    </row>
    <row r="312" spans="1:16" x14ac:dyDescent="0.3">
      <c r="A312" s="2" t="s">
        <v>2238</v>
      </c>
      <c r="B312" s="3">
        <v>44586</v>
      </c>
      <c r="C312" s="2" t="s">
        <v>2239</v>
      </c>
      <c r="D312" t="s">
        <v>6171</v>
      </c>
      <c r="E312" s="2">
        <v>1</v>
      </c>
      <c r="F312" s="2" t="str">
        <f>_xlfn.XLOOKUP(C312,Customers!$A$2:$A$1001,Customers!$B$2:$B$1001,0)</f>
        <v>Paola Brydell</v>
      </c>
      <c r="G312" s="2" t="str">
        <f>IF(_xlfn.XLOOKUP(C312,Customers!$A$2:$A$1001,Customers!$C$2:$C$1001)=0,"",_xlfn.XLOOKUP(C312,Customers!$A$2:$A$1001,Customers!$C$2:$C$1001))</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_xlfn.XLOOKUP(Orders[[#This Row],[Customer ID]],Customers!$A$2:$A$1001,Customers!$I$2:$I$1001,0)</f>
        <v>No</v>
      </c>
    </row>
    <row r="313" spans="1:16" x14ac:dyDescent="0.3">
      <c r="A313" s="2" t="s">
        <v>2244</v>
      </c>
      <c r="B313" s="3">
        <v>43951</v>
      </c>
      <c r="C313" s="2" t="s">
        <v>2245</v>
      </c>
      <c r="D313" t="s">
        <v>6166</v>
      </c>
      <c r="E313" s="2">
        <v>6</v>
      </c>
      <c r="F313" s="2" t="str">
        <f>_xlfn.XLOOKUP(C313,Customers!$A$2:$A$1001,Customers!$B$2:$B$1001,0)</f>
        <v>Claudetta Rushe</v>
      </c>
      <c r="G313" s="2" t="str">
        <f>IF(_xlfn.XLOOKUP(C313,Customers!$A$2:$A$1001,Customers!$C$2:$C$1001)=0,"",_xlfn.XLOOKUP(C313,Customers!$A$2:$A$1001,Customers!$C$2:$C$1001))</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_xlfn.XLOOKUP(Orders[[#This Row],[Customer ID]],Customers!$A$2:$A$1001,Customers!$I$2:$I$1001,0)</f>
        <v>Yes</v>
      </c>
    </row>
    <row r="314" spans="1:16" x14ac:dyDescent="0.3">
      <c r="A314" s="2" t="s">
        <v>2250</v>
      </c>
      <c r="B314" s="3">
        <v>44317</v>
      </c>
      <c r="C314" s="2" t="s">
        <v>2251</v>
      </c>
      <c r="D314" t="s">
        <v>6146</v>
      </c>
      <c r="E314" s="2">
        <v>1</v>
      </c>
      <c r="F314" s="2" t="str">
        <f>_xlfn.XLOOKUP(C314,Customers!$A$2:$A$1001,Customers!$B$2:$B$1001,0)</f>
        <v>Natka Leethem</v>
      </c>
      <c r="G314" s="2" t="str">
        <f>IF(_xlfn.XLOOKUP(C314,Customers!$A$2:$A$1001,Customers!$C$2:$C$1001)=0,"",_xlfn.XLOOKUP(C314,Customers!$A$2:$A$1001,Customers!$C$2:$C$1001))</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_xlfn.XLOOKUP(Orders[[#This Row],[Customer ID]],Customers!$A$2:$A$1001,Customers!$I$2:$I$1001,0)</f>
        <v>Yes</v>
      </c>
    </row>
    <row r="315" spans="1:16" x14ac:dyDescent="0.3">
      <c r="A315" s="2" t="s">
        <v>2256</v>
      </c>
      <c r="B315" s="3">
        <v>44497</v>
      </c>
      <c r="C315" s="2" t="s">
        <v>2257</v>
      </c>
      <c r="D315" t="s">
        <v>6138</v>
      </c>
      <c r="E315" s="2">
        <v>3</v>
      </c>
      <c r="F315" s="2" t="str">
        <f>_xlfn.XLOOKUP(C315,Customers!$A$2:$A$1001,Customers!$B$2:$B$1001,0)</f>
        <v>Ailene Nesfield</v>
      </c>
      <c r="G315" s="2" t="str">
        <f>IF(_xlfn.XLOOKUP(C315,Customers!$A$2:$A$1001,Customers!$C$2:$C$1001)=0,"",_xlfn.XLOOKUP(C315,Customers!$A$2:$A$1001,Customers!$C$2:$C$1001))</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_xlfn.XLOOKUP(Orders[[#This Row],[Customer ID]],Customers!$A$2:$A$1001,Customers!$I$2:$I$1001,0)</f>
        <v>Yes</v>
      </c>
    </row>
    <row r="316" spans="1:16" x14ac:dyDescent="0.3">
      <c r="A316" s="2" t="s">
        <v>2262</v>
      </c>
      <c r="B316" s="3">
        <v>44437</v>
      </c>
      <c r="C316" s="2" t="s">
        <v>2263</v>
      </c>
      <c r="D316" t="s">
        <v>6177</v>
      </c>
      <c r="E316" s="2">
        <v>5</v>
      </c>
      <c r="F316" s="2" t="str">
        <f>_xlfn.XLOOKUP(C316,Customers!$A$2:$A$1001,Customers!$B$2:$B$1001,0)</f>
        <v>Stacy Pickworth</v>
      </c>
      <c r="G316" s="2" t="str">
        <f>IF(_xlfn.XLOOKUP(C316,Customers!$A$2:$A$1001,Customers!$C$2:$C$1001)=0,"",_xlfn.XLOOKUP(C316,Customers!$A$2:$A$1001,Customers!$C$2:$C$1001))</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_xlfn.XLOOKUP(Orders[[#This Row],[Customer ID]],Customers!$A$2:$A$1001,Customers!$I$2:$I$1001,0)</f>
        <v>No</v>
      </c>
    </row>
    <row r="317" spans="1:16" x14ac:dyDescent="0.3">
      <c r="A317" s="2" t="s">
        <v>2267</v>
      </c>
      <c r="B317" s="3">
        <v>43826</v>
      </c>
      <c r="C317" s="2" t="s">
        <v>2268</v>
      </c>
      <c r="D317" t="s">
        <v>6148</v>
      </c>
      <c r="E317" s="2">
        <v>1</v>
      </c>
      <c r="F317" s="2" t="str">
        <f>_xlfn.XLOOKUP(C317,Customers!$A$2:$A$1001,Customers!$B$2:$B$1001,0)</f>
        <v>Melli Brockway</v>
      </c>
      <c r="G317" s="2" t="str">
        <f>IF(_xlfn.XLOOKUP(C317,Customers!$A$2:$A$1001,Customers!$C$2:$C$1001)=0,"",_xlfn.XLOOKUP(C317,Customers!$A$2:$A$1001,Customers!$C$2:$C$1001))</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_xlfn.XLOOKUP(Orders[[#This Row],[Customer ID]],Customers!$A$2:$A$1001,Customers!$I$2:$I$1001,0)</f>
        <v>Yes</v>
      </c>
    </row>
    <row r="318" spans="1:16" x14ac:dyDescent="0.3">
      <c r="A318" s="2" t="s">
        <v>2273</v>
      </c>
      <c r="B318" s="3">
        <v>43641</v>
      </c>
      <c r="C318" s="2" t="s">
        <v>2274</v>
      </c>
      <c r="D318" t="s">
        <v>6148</v>
      </c>
      <c r="E318" s="2">
        <v>6</v>
      </c>
      <c r="F318" s="2" t="str">
        <f>_xlfn.XLOOKUP(C318,Customers!$A$2:$A$1001,Customers!$B$2:$B$1001,0)</f>
        <v>Nanny Lush</v>
      </c>
      <c r="G318" s="2" t="str">
        <f>IF(_xlfn.XLOOKUP(C318,Customers!$A$2:$A$1001,Customers!$C$2:$C$1001)=0,"",_xlfn.XLOOKUP(C318,Customers!$A$2:$A$1001,Customers!$C$2:$C$1001))</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_xlfn.XLOOKUP(Orders[[#This Row],[Customer ID]],Customers!$A$2:$A$1001,Customers!$I$2:$I$1001,0)</f>
        <v>No</v>
      </c>
    </row>
    <row r="319" spans="1:16" x14ac:dyDescent="0.3">
      <c r="A319" s="2" t="s">
        <v>2279</v>
      </c>
      <c r="B319" s="3">
        <v>43526</v>
      </c>
      <c r="C319" s="2" t="s">
        <v>2280</v>
      </c>
      <c r="D319" t="s">
        <v>6144</v>
      </c>
      <c r="E319" s="2">
        <v>3</v>
      </c>
      <c r="F319" s="2" t="str">
        <f>_xlfn.XLOOKUP(C319,Customers!$A$2:$A$1001,Customers!$B$2:$B$1001,0)</f>
        <v>Selma McMillian</v>
      </c>
      <c r="G319" s="2" t="str">
        <f>IF(_xlfn.XLOOKUP(C319,Customers!$A$2:$A$1001,Customers!$C$2:$C$1001)=0,"",_xlfn.XLOOKUP(C319,Customers!$A$2:$A$1001,Customers!$C$2:$C$1001))</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_xlfn.XLOOKUP(Orders[[#This Row],[Customer ID]],Customers!$A$2:$A$1001,Customers!$I$2:$I$1001,0)</f>
        <v>No</v>
      </c>
    </row>
    <row r="320" spans="1:16" x14ac:dyDescent="0.3">
      <c r="A320" s="2" t="s">
        <v>2285</v>
      </c>
      <c r="B320" s="3">
        <v>44563</v>
      </c>
      <c r="C320" s="2" t="s">
        <v>2286</v>
      </c>
      <c r="D320" t="s">
        <v>6175</v>
      </c>
      <c r="E320" s="2">
        <v>2</v>
      </c>
      <c r="F320" s="2" t="str">
        <f>_xlfn.XLOOKUP(C320,Customers!$A$2:$A$1001,Customers!$B$2:$B$1001,0)</f>
        <v>Tess Bennison</v>
      </c>
      <c r="G320" s="2" t="str">
        <f>IF(_xlfn.XLOOKUP(C320,Customers!$A$2:$A$1001,Customers!$C$2:$C$1001)=0,"",_xlfn.XLOOKUP(C320,Customers!$A$2:$A$1001,Customers!$C$2:$C$1001))</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_xlfn.XLOOKUP(Orders[[#This Row],[Customer ID]],Customers!$A$2:$A$1001,Customers!$I$2:$I$1001,0)</f>
        <v>Yes</v>
      </c>
    </row>
    <row r="321" spans="1:16" x14ac:dyDescent="0.3">
      <c r="A321" s="2" t="s">
        <v>2291</v>
      </c>
      <c r="B321" s="3">
        <v>43676</v>
      </c>
      <c r="C321" s="2" t="s">
        <v>2292</v>
      </c>
      <c r="D321" t="s">
        <v>6156</v>
      </c>
      <c r="E321" s="2">
        <v>2</v>
      </c>
      <c r="F321" s="2" t="str">
        <f>_xlfn.XLOOKUP(C321,Customers!$A$2:$A$1001,Customers!$B$2:$B$1001,0)</f>
        <v>Gabie Tweed</v>
      </c>
      <c r="G321" s="2" t="str">
        <f>IF(_xlfn.XLOOKUP(C321,Customers!$A$2:$A$1001,Customers!$C$2:$C$1001)=0,"",_xlfn.XLOOKUP(C321,Customers!$A$2:$A$1001,Customers!$C$2:$C$1001))</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_xlfn.XLOOKUP(Orders[[#This Row],[Customer ID]],Customers!$A$2:$A$1001,Customers!$I$2:$I$1001,0)</f>
        <v>Yes</v>
      </c>
    </row>
    <row r="322" spans="1:16" x14ac:dyDescent="0.3">
      <c r="A322" s="2" t="s">
        <v>2291</v>
      </c>
      <c r="B322" s="3">
        <v>43676</v>
      </c>
      <c r="C322" s="2" t="s">
        <v>2292</v>
      </c>
      <c r="D322" t="s">
        <v>6167</v>
      </c>
      <c r="E322" s="2">
        <v>5</v>
      </c>
      <c r="F322" s="2" t="str">
        <f>_xlfn.XLOOKUP(C322,Customers!$A$2:$A$1001,Customers!$B$2:$B$1001,0)</f>
        <v>Gabie Tweed</v>
      </c>
      <c r="G322" s="2" t="str">
        <f>IF(_xlfn.XLOOKUP(C322,Customers!$A$2:$A$1001,Customers!$C$2:$C$1001)=0,"",_xlfn.XLOOKUP(C322,Customers!$A$2:$A$1001,Customers!$C$2:$C$1001))</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ref="M322:M385" si="15">L322*E322</f>
        <v>19.424999999999997</v>
      </c>
      <c r="N322" t="str">
        <f t="shared" ref="N322:N385" si="16">IF(I322="Rob","Robusta",IF(I322="Exc","Excelsa",IF(I322="Ara","Arabica",IF(I322="Lib","Liberica",""))))</f>
        <v>Arabica</v>
      </c>
      <c r="O322" t="str">
        <f t="shared" ref="O322:O385" si="17">IF(J322="M","Medium",IF(J322="L","Light",IF(J322="D","Dark","")))</f>
        <v>Light</v>
      </c>
      <c r="P322" t="str">
        <f>_xlfn.XLOOKUP(Orders[[#This Row],[Customer ID]],Customers!$A$2:$A$1001,Customers!$I$2:$I$1001,0)</f>
        <v>Yes</v>
      </c>
    </row>
    <row r="323" spans="1:16" x14ac:dyDescent="0.3">
      <c r="A323" s="2" t="s">
        <v>2301</v>
      </c>
      <c r="B323" s="3">
        <v>44170</v>
      </c>
      <c r="C323" s="2" t="s">
        <v>2302</v>
      </c>
      <c r="D323" t="s">
        <v>6152</v>
      </c>
      <c r="E323" s="2">
        <v>6</v>
      </c>
      <c r="F323" s="2" t="str">
        <f>_xlfn.XLOOKUP(C323,Customers!$A$2:$A$1001,Customers!$B$2:$B$1001,0)</f>
        <v>Gaile Goggin</v>
      </c>
      <c r="G323" s="2" t="str">
        <f>IF(_xlfn.XLOOKUP(C323,Customers!$A$2:$A$1001,Customers!$C$2:$C$1001)=0,"",_xlfn.XLOOKUP(C323,Customers!$A$2:$A$1001,Customers!$C$2:$C$1001))</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si="15"/>
        <v>20.25</v>
      </c>
      <c r="N323" t="str">
        <f t="shared" si="16"/>
        <v>Arabica</v>
      </c>
      <c r="O323" t="str">
        <f t="shared" si="17"/>
        <v>Medium</v>
      </c>
      <c r="P323" t="str">
        <f>_xlfn.XLOOKUP(Orders[[#This Row],[Customer ID]],Customers!$A$2:$A$1001,Customers!$I$2:$I$1001,0)</f>
        <v>Yes</v>
      </c>
    </row>
    <row r="324" spans="1:16" x14ac:dyDescent="0.3">
      <c r="A324" s="2" t="s">
        <v>2307</v>
      </c>
      <c r="B324" s="3">
        <v>44182</v>
      </c>
      <c r="C324" s="2" t="s">
        <v>2308</v>
      </c>
      <c r="D324" t="s">
        <v>6169</v>
      </c>
      <c r="E324" s="2">
        <v>3</v>
      </c>
      <c r="F324" s="2" t="str">
        <f>_xlfn.XLOOKUP(C324,Customers!$A$2:$A$1001,Customers!$B$2:$B$1001,0)</f>
        <v>Skylar Jeyness</v>
      </c>
      <c r="G324" s="2" t="str">
        <f>IF(_xlfn.XLOOKUP(C324,Customers!$A$2:$A$1001,Customers!$C$2:$C$1001)=0,"",_xlfn.XLOOKUP(C324,Customers!$A$2:$A$1001,Customers!$C$2:$C$1001))</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_xlfn.XLOOKUP(Orders[[#This Row],[Customer ID]],Customers!$A$2:$A$1001,Customers!$I$2:$I$1001,0)</f>
        <v>No</v>
      </c>
    </row>
    <row r="325" spans="1:16" x14ac:dyDescent="0.3">
      <c r="A325" s="2" t="s">
        <v>2313</v>
      </c>
      <c r="B325" s="3">
        <v>44373</v>
      </c>
      <c r="C325" s="2" t="s">
        <v>2314</v>
      </c>
      <c r="D325" t="s">
        <v>6153</v>
      </c>
      <c r="E325" s="2">
        <v>5</v>
      </c>
      <c r="F325" s="2" t="str">
        <f>_xlfn.XLOOKUP(C325,Customers!$A$2:$A$1001,Customers!$B$2:$B$1001,0)</f>
        <v>Donica Bonhome</v>
      </c>
      <c r="G325" s="2" t="str">
        <f>IF(_xlfn.XLOOKUP(C325,Customers!$A$2:$A$1001,Customers!$C$2:$C$1001)=0,"",_xlfn.XLOOKUP(C325,Customers!$A$2:$A$1001,Customers!$C$2:$C$1001))</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_xlfn.XLOOKUP(Orders[[#This Row],[Customer ID]],Customers!$A$2:$A$1001,Customers!$I$2:$I$1001,0)</f>
        <v>Yes</v>
      </c>
    </row>
    <row r="326" spans="1:16" x14ac:dyDescent="0.3">
      <c r="A326" s="2" t="s">
        <v>2319</v>
      </c>
      <c r="B326" s="3">
        <v>43666</v>
      </c>
      <c r="C326" s="2" t="s">
        <v>2320</v>
      </c>
      <c r="D326" t="s">
        <v>6141</v>
      </c>
      <c r="E326" s="2">
        <v>1</v>
      </c>
      <c r="F326" s="2" t="str">
        <f>_xlfn.XLOOKUP(C326,Customers!$A$2:$A$1001,Customers!$B$2:$B$1001,0)</f>
        <v>Diena Peetermann</v>
      </c>
      <c r="G326" s="2" t="str">
        <f>IF(_xlfn.XLOOKUP(C326,Customers!$A$2:$A$1001,Customers!$C$2:$C$1001)=0,"",_xlfn.XLOOKUP(C326,Customers!$A$2:$A$1001,Customers!$C$2:$C$1001))</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_xlfn.XLOOKUP(Orders[[#This Row],[Customer ID]],Customers!$A$2:$A$1001,Customers!$I$2:$I$1001,0)</f>
        <v>No</v>
      </c>
    </row>
    <row r="327" spans="1:16" x14ac:dyDescent="0.3">
      <c r="A327" s="2" t="s">
        <v>2324</v>
      </c>
      <c r="B327" s="3">
        <v>44756</v>
      </c>
      <c r="C327" s="2" t="s">
        <v>2325</v>
      </c>
      <c r="D327" t="s">
        <v>6182</v>
      </c>
      <c r="E327" s="2">
        <v>1</v>
      </c>
      <c r="F327" s="2" t="str">
        <f>_xlfn.XLOOKUP(C327,Customers!$A$2:$A$1001,Customers!$B$2:$B$1001,0)</f>
        <v>Trina Le Sarr</v>
      </c>
      <c r="G327" s="2" t="str">
        <f>IF(_xlfn.XLOOKUP(C327,Customers!$A$2:$A$1001,Customers!$C$2:$C$1001)=0,"",_xlfn.XLOOKUP(C327,Customers!$A$2:$A$1001,Customers!$C$2:$C$1001))</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_xlfn.XLOOKUP(Orders[[#This Row],[Customer ID]],Customers!$A$2:$A$1001,Customers!$I$2:$I$1001,0)</f>
        <v>Yes</v>
      </c>
    </row>
    <row r="328" spans="1:16" x14ac:dyDescent="0.3">
      <c r="A328" s="2" t="s">
        <v>2330</v>
      </c>
      <c r="B328" s="3">
        <v>44057</v>
      </c>
      <c r="C328" s="2" t="s">
        <v>2331</v>
      </c>
      <c r="D328" t="s">
        <v>6177</v>
      </c>
      <c r="E328" s="2">
        <v>5</v>
      </c>
      <c r="F328" s="2" t="str">
        <f>_xlfn.XLOOKUP(C328,Customers!$A$2:$A$1001,Customers!$B$2:$B$1001,0)</f>
        <v>Flynn Antony</v>
      </c>
      <c r="G328" s="2" t="str">
        <f>IF(_xlfn.XLOOKUP(C328,Customers!$A$2:$A$1001,Customers!$C$2:$C$1001)=0,"",_xlfn.XLOOKUP(C328,Customers!$A$2:$A$1001,Customers!$C$2:$C$1001))</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_xlfn.XLOOKUP(Orders[[#This Row],[Customer ID]],Customers!$A$2:$A$1001,Customers!$I$2:$I$1001,0)</f>
        <v>No</v>
      </c>
    </row>
    <row r="329" spans="1:16" x14ac:dyDescent="0.3">
      <c r="A329" s="2" t="s">
        <v>2335</v>
      </c>
      <c r="B329" s="3">
        <v>43579</v>
      </c>
      <c r="C329" s="2" t="s">
        <v>2336</v>
      </c>
      <c r="D329" t="s">
        <v>6177</v>
      </c>
      <c r="E329" s="2">
        <v>5</v>
      </c>
      <c r="F329" s="2" t="str">
        <f>_xlfn.XLOOKUP(C329,Customers!$A$2:$A$1001,Customers!$B$2:$B$1001,0)</f>
        <v>Baudoin Alldridge</v>
      </c>
      <c r="G329" s="2" t="str">
        <f>IF(_xlfn.XLOOKUP(C329,Customers!$A$2:$A$1001,Customers!$C$2:$C$1001)=0,"",_xlfn.XLOOKUP(C329,Customers!$A$2:$A$1001,Customers!$C$2:$C$1001))</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_xlfn.XLOOKUP(Orders[[#This Row],[Customer ID]],Customers!$A$2:$A$1001,Customers!$I$2:$I$1001,0)</f>
        <v>Yes</v>
      </c>
    </row>
    <row r="330" spans="1:16" x14ac:dyDescent="0.3">
      <c r="A330" s="2" t="s">
        <v>2341</v>
      </c>
      <c r="B330" s="3">
        <v>43620</v>
      </c>
      <c r="C330" s="2" t="s">
        <v>2342</v>
      </c>
      <c r="D330" t="s">
        <v>6161</v>
      </c>
      <c r="E330" s="2">
        <v>4</v>
      </c>
      <c r="F330" s="2" t="str">
        <f>_xlfn.XLOOKUP(C330,Customers!$A$2:$A$1001,Customers!$B$2:$B$1001,0)</f>
        <v>Homer Dulany</v>
      </c>
      <c r="G330" s="2" t="str">
        <f>IF(_xlfn.XLOOKUP(C330,Customers!$A$2:$A$1001,Customers!$C$2:$C$1001)=0,"",_xlfn.XLOOKUP(C330,Customers!$A$2:$A$1001,Customers!$C$2:$C$1001))</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_xlfn.XLOOKUP(Orders[[#This Row],[Customer ID]],Customers!$A$2:$A$1001,Customers!$I$2:$I$1001,0)</f>
        <v>Yes</v>
      </c>
    </row>
    <row r="331" spans="1:16" x14ac:dyDescent="0.3">
      <c r="A331" s="2" t="s">
        <v>2346</v>
      </c>
      <c r="B331" s="3">
        <v>44781</v>
      </c>
      <c r="C331" s="2" t="s">
        <v>2347</v>
      </c>
      <c r="D331" t="s">
        <v>6172</v>
      </c>
      <c r="E331" s="2">
        <v>4</v>
      </c>
      <c r="F331" s="2" t="str">
        <f>_xlfn.XLOOKUP(C331,Customers!$A$2:$A$1001,Customers!$B$2:$B$1001,0)</f>
        <v>Lisa Goodger</v>
      </c>
      <c r="G331" s="2" t="str">
        <f>IF(_xlfn.XLOOKUP(C331,Customers!$A$2:$A$1001,Customers!$C$2:$C$1001)=0,"",_xlfn.XLOOKUP(C331,Customers!$A$2:$A$1001,Customers!$C$2:$C$1001))</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_xlfn.XLOOKUP(Orders[[#This Row],[Customer ID]],Customers!$A$2:$A$1001,Customers!$I$2:$I$1001,0)</f>
        <v>Yes</v>
      </c>
    </row>
    <row r="332" spans="1:16" x14ac:dyDescent="0.3">
      <c r="A332" s="2" t="s">
        <v>2351</v>
      </c>
      <c r="B332" s="3">
        <v>43782</v>
      </c>
      <c r="C332" s="2" t="s">
        <v>2280</v>
      </c>
      <c r="D332" t="s">
        <v>6172</v>
      </c>
      <c r="E332" s="2">
        <v>3</v>
      </c>
      <c r="F332" s="2" t="str">
        <f>_xlfn.XLOOKUP(C332,Customers!$A$2:$A$1001,Customers!$B$2:$B$1001,0)</f>
        <v>Selma McMillian</v>
      </c>
      <c r="G332" s="2" t="str">
        <f>IF(_xlfn.XLOOKUP(C332,Customers!$A$2:$A$1001,Customers!$C$2:$C$1001)=0,"",_xlfn.XLOOKUP(C332,Customers!$A$2:$A$1001,Customers!$C$2:$C$1001))</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_xlfn.XLOOKUP(Orders[[#This Row],[Customer ID]],Customers!$A$2:$A$1001,Customers!$I$2:$I$1001,0)</f>
        <v>No</v>
      </c>
    </row>
    <row r="333" spans="1:16" x14ac:dyDescent="0.3">
      <c r="A333" s="2" t="s">
        <v>2357</v>
      </c>
      <c r="B333" s="3">
        <v>43989</v>
      </c>
      <c r="C333" s="2" t="s">
        <v>2358</v>
      </c>
      <c r="D333" t="s">
        <v>6151</v>
      </c>
      <c r="E333" s="2">
        <v>1</v>
      </c>
      <c r="F333" s="2" t="str">
        <f>_xlfn.XLOOKUP(C333,Customers!$A$2:$A$1001,Customers!$B$2:$B$1001,0)</f>
        <v>Corine Drewett</v>
      </c>
      <c r="G333" s="2" t="str">
        <f>IF(_xlfn.XLOOKUP(C333,Customers!$A$2:$A$1001,Customers!$C$2:$C$1001)=0,"",_xlfn.XLOOKUP(C333,Customers!$A$2:$A$1001,Customers!$C$2:$C$1001))</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_xlfn.XLOOKUP(Orders[[#This Row],[Customer ID]],Customers!$A$2:$A$1001,Customers!$I$2:$I$1001,0)</f>
        <v>Yes</v>
      </c>
    </row>
    <row r="334" spans="1:16" x14ac:dyDescent="0.3">
      <c r="A334" s="2" t="s">
        <v>2363</v>
      </c>
      <c r="B334" s="3">
        <v>43689</v>
      </c>
      <c r="C334" s="2" t="s">
        <v>2364</v>
      </c>
      <c r="D334" t="s">
        <v>6158</v>
      </c>
      <c r="E334" s="2">
        <v>3</v>
      </c>
      <c r="F334" s="2" t="str">
        <f>_xlfn.XLOOKUP(C334,Customers!$A$2:$A$1001,Customers!$B$2:$B$1001,0)</f>
        <v>Quinn Parsons</v>
      </c>
      <c r="G334" s="2" t="str">
        <f>IF(_xlfn.XLOOKUP(C334,Customers!$A$2:$A$1001,Customers!$C$2:$C$1001)=0,"",_xlfn.XLOOKUP(C334,Customers!$A$2:$A$1001,Customers!$C$2:$C$1001))</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_xlfn.XLOOKUP(Orders[[#This Row],[Customer ID]],Customers!$A$2:$A$1001,Customers!$I$2:$I$1001,0)</f>
        <v>Yes</v>
      </c>
    </row>
    <row r="335" spans="1:16" x14ac:dyDescent="0.3">
      <c r="A335" s="2" t="s">
        <v>2369</v>
      </c>
      <c r="B335" s="3">
        <v>43712</v>
      </c>
      <c r="C335" s="2" t="s">
        <v>2370</v>
      </c>
      <c r="D335" t="s">
        <v>6146</v>
      </c>
      <c r="E335" s="2">
        <v>4</v>
      </c>
      <c r="F335" s="2" t="str">
        <f>_xlfn.XLOOKUP(C335,Customers!$A$2:$A$1001,Customers!$B$2:$B$1001,0)</f>
        <v>Vivyan Ceely</v>
      </c>
      <c r="G335" s="2" t="str">
        <f>IF(_xlfn.XLOOKUP(C335,Customers!$A$2:$A$1001,Customers!$C$2:$C$1001)=0,"",_xlfn.XLOOKUP(C335,Customers!$A$2:$A$1001,Customers!$C$2:$C$1001))</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_xlfn.XLOOKUP(Orders[[#This Row],[Customer ID]],Customers!$A$2:$A$1001,Customers!$I$2:$I$1001,0)</f>
        <v>Yes</v>
      </c>
    </row>
    <row r="336" spans="1:16" x14ac:dyDescent="0.3">
      <c r="A336" s="2" t="s">
        <v>2375</v>
      </c>
      <c r="B336" s="3">
        <v>43742</v>
      </c>
      <c r="C336" s="2" t="s">
        <v>2376</v>
      </c>
      <c r="D336" t="s">
        <v>6179</v>
      </c>
      <c r="E336" s="2">
        <v>5</v>
      </c>
      <c r="F336" s="2" t="str">
        <f>_xlfn.XLOOKUP(C336,Customers!$A$2:$A$1001,Customers!$B$2:$B$1001,0)</f>
        <v>Elonore Goodings</v>
      </c>
      <c r="G336" s="2" t="str">
        <f>IF(_xlfn.XLOOKUP(C336,Customers!$A$2:$A$1001,Customers!$C$2:$C$1001)=0,"",_xlfn.XLOOKUP(C336,Customers!$A$2:$A$1001,Customers!$C$2:$C$1001))</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_xlfn.XLOOKUP(Orders[[#This Row],[Customer ID]],Customers!$A$2:$A$1001,Customers!$I$2:$I$1001,0)</f>
        <v>No</v>
      </c>
    </row>
    <row r="337" spans="1:16" x14ac:dyDescent="0.3">
      <c r="A337" s="2" t="s">
        <v>2379</v>
      </c>
      <c r="B337" s="3">
        <v>43885</v>
      </c>
      <c r="C337" s="2" t="s">
        <v>2380</v>
      </c>
      <c r="D337" t="s">
        <v>6145</v>
      </c>
      <c r="E337" s="2">
        <v>6</v>
      </c>
      <c r="F337" s="2" t="str">
        <f>_xlfn.XLOOKUP(C337,Customers!$A$2:$A$1001,Customers!$B$2:$B$1001,0)</f>
        <v>Clement Vasiliev</v>
      </c>
      <c r="G337" s="2" t="str">
        <f>IF(_xlfn.XLOOKUP(C337,Customers!$A$2:$A$1001,Customers!$C$2:$C$1001)=0,"",_xlfn.XLOOKUP(C337,Customers!$A$2:$A$1001,Customers!$C$2:$C$1001))</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_xlfn.XLOOKUP(Orders[[#This Row],[Customer ID]],Customers!$A$2:$A$1001,Customers!$I$2:$I$1001,0)</f>
        <v>Yes</v>
      </c>
    </row>
    <row r="338" spans="1:16" x14ac:dyDescent="0.3">
      <c r="A338" s="2" t="s">
        <v>2385</v>
      </c>
      <c r="B338" s="3">
        <v>44434</v>
      </c>
      <c r="C338" s="2" t="s">
        <v>2386</v>
      </c>
      <c r="D338" t="s">
        <v>6155</v>
      </c>
      <c r="E338" s="2">
        <v>4</v>
      </c>
      <c r="F338" s="2" t="str">
        <f>_xlfn.XLOOKUP(C338,Customers!$A$2:$A$1001,Customers!$B$2:$B$1001,0)</f>
        <v>Terencio O'Moylan</v>
      </c>
      <c r="G338" s="2" t="str">
        <f>IF(_xlfn.XLOOKUP(C338,Customers!$A$2:$A$1001,Customers!$C$2:$C$1001)=0,"",_xlfn.XLOOKUP(C338,Customers!$A$2:$A$1001,Customers!$C$2:$C$1001))</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_xlfn.XLOOKUP(Orders[[#This Row],[Customer ID]],Customers!$A$2:$A$1001,Customers!$I$2:$I$1001,0)</f>
        <v>No</v>
      </c>
    </row>
    <row r="339" spans="1:16" x14ac:dyDescent="0.3">
      <c r="A339" s="2" t="s">
        <v>2391</v>
      </c>
      <c r="B339" s="3">
        <v>44472</v>
      </c>
      <c r="C339" s="2" t="s">
        <v>2331</v>
      </c>
      <c r="D339" t="s">
        <v>6185</v>
      </c>
      <c r="E339" s="2">
        <v>2</v>
      </c>
      <c r="F339" s="2" t="str">
        <f>_xlfn.XLOOKUP(C339,Customers!$A$2:$A$1001,Customers!$B$2:$B$1001,0)</f>
        <v>Flynn Antony</v>
      </c>
      <c r="G339" s="2" t="str">
        <f>IF(_xlfn.XLOOKUP(C339,Customers!$A$2:$A$1001,Customers!$C$2:$C$1001)=0,"",_xlfn.XLOOKUP(C339,Customers!$A$2:$A$1001,Customers!$C$2:$C$1001))</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_xlfn.XLOOKUP(Orders[[#This Row],[Customer ID]],Customers!$A$2:$A$1001,Customers!$I$2:$I$1001,0)</f>
        <v>No</v>
      </c>
    </row>
    <row r="340" spans="1:16" x14ac:dyDescent="0.3">
      <c r="A340" s="2" t="s">
        <v>2396</v>
      </c>
      <c r="B340" s="3">
        <v>43995</v>
      </c>
      <c r="C340" s="2" t="s">
        <v>2397</v>
      </c>
      <c r="D340" t="s">
        <v>6171</v>
      </c>
      <c r="E340" s="2">
        <v>4</v>
      </c>
      <c r="F340" s="2" t="str">
        <f>_xlfn.XLOOKUP(C340,Customers!$A$2:$A$1001,Customers!$B$2:$B$1001,0)</f>
        <v>Wyatan Fetherston</v>
      </c>
      <c r="G340" s="2" t="str">
        <f>IF(_xlfn.XLOOKUP(C340,Customers!$A$2:$A$1001,Customers!$C$2:$C$1001)=0,"",_xlfn.XLOOKUP(C340,Customers!$A$2:$A$1001,Customers!$C$2:$C$1001))</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_xlfn.XLOOKUP(Orders[[#This Row],[Customer ID]],Customers!$A$2:$A$1001,Customers!$I$2:$I$1001,0)</f>
        <v>No</v>
      </c>
    </row>
    <row r="341" spans="1:16" x14ac:dyDescent="0.3">
      <c r="A341" s="2" t="s">
        <v>2402</v>
      </c>
      <c r="B341" s="3">
        <v>44256</v>
      </c>
      <c r="C341" s="2" t="s">
        <v>2403</v>
      </c>
      <c r="D341" t="s">
        <v>6153</v>
      </c>
      <c r="E341" s="2">
        <v>2</v>
      </c>
      <c r="F341" s="2" t="str">
        <f>_xlfn.XLOOKUP(C341,Customers!$A$2:$A$1001,Customers!$B$2:$B$1001,0)</f>
        <v>Emmaline Rasmus</v>
      </c>
      <c r="G341" s="2" t="str">
        <f>IF(_xlfn.XLOOKUP(C341,Customers!$A$2:$A$1001,Customers!$C$2:$C$1001)=0,"",_xlfn.XLOOKUP(C341,Customers!$A$2:$A$1001,Customers!$C$2:$C$1001))</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_xlfn.XLOOKUP(Orders[[#This Row],[Customer ID]],Customers!$A$2:$A$1001,Customers!$I$2:$I$1001,0)</f>
        <v>Yes</v>
      </c>
    </row>
    <row r="342" spans="1:16" x14ac:dyDescent="0.3">
      <c r="A342" s="2" t="s">
        <v>2408</v>
      </c>
      <c r="B342" s="3">
        <v>43528</v>
      </c>
      <c r="C342" s="2" t="s">
        <v>2409</v>
      </c>
      <c r="D342" t="s">
        <v>6144</v>
      </c>
      <c r="E342" s="2">
        <v>1</v>
      </c>
      <c r="F342" s="2" t="str">
        <f>_xlfn.XLOOKUP(C342,Customers!$A$2:$A$1001,Customers!$B$2:$B$1001,0)</f>
        <v>Wesley Giorgioni</v>
      </c>
      <c r="G342" s="2" t="str">
        <f>IF(_xlfn.XLOOKUP(C342,Customers!$A$2:$A$1001,Customers!$C$2:$C$1001)=0,"",_xlfn.XLOOKUP(C342,Customers!$A$2:$A$1001,Customers!$C$2:$C$1001))</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_xlfn.XLOOKUP(Orders[[#This Row],[Customer ID]],Customers!$A$2:$A$1001,Customers!$I$2:$I$1001,0)</f>
        <v>Yes</v>
      </c>
    </row>
    <row r="343" spans="1:16" x14ac:dyDescent="0.3">
      <c r="A343" s="2" t="s">
        <v>2414</v>
      </c>
      <c r="B343" s="3">
        <v>43751</v>
      </c>
      <c r="C343" s="2" t="s">
        <v>2415</v>
      </c>
      <c r="D343" t="s">
        <v>6176</v>
      </c>
      <c r="E343" s="2">
        <v>2</v>
      </c>
      <c r="F343" s="2" t="str">
        <f>_xlfn.XLOOKUP(C343,Customers!$A$2:$A$1001,Customers!$B$2:$B$1001,0)</f>
        <v>Lucienne Scargle</v>
      </c>
      <c r="G343" s="2" t="str">
        <f>IF(_xlfn.XLOOKUP(C343,Customers!$A$2:$A$1001,Customers!$C$2:$C$1001)=0,"",_xlfn.XLOOKUP(C343,Customers!$A$2:$A$1001,Customers!$C$2:$C$1001))</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_xlfn.XLOOKUP(Orders[[#This Row],[Customer ID]],Customers!$A$2:$A$1001,Customers!$I$2:$I$1001,0)</f>
        <v>No</v>
      </c>
    </row>
    <row r="344" spans="1:16" x14ac:dyDescent="0.3">
      <c r="A344" s="2" t="s">
        <v>2414</v>
      </c>
      <c r="B344" s="3">
        <v>43751</v>
      </c>
      <c r="C344" s="2" t="s">
        <v>2415</v>
      </c>
      <c r="D344" t="s">
        <v>6169</v>
      </c>
      <c r="E344" s="2">
        <v>5</v>
      </c>
      <c r="F344" s="2" t="str">
        <f>_xlfn.XLOOKUP(C344,Customers!$A$2:$A$1001,Customers!$B$2:$B$1001,0)</f>
        <v>Lucienne Scargle</v>
      </c>
      <c r="G344" s="2" t="str">
        <f>IF(_xlfn.XLOOKUP(C344,Customers!$A$2:$A$1001,Customers!$C$2:$C$1001)=0,"",_xlfn.XLOOKUP(C344,Customers!$A$2:$A$1001,Customers!$C$2:$C$1001))</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_xlfn.XLOOKUP(Orders[[#This Row],[Customer ID]],Customers!$A$2:$A$1001,Customers!$I$2:$I$1001,0)</f>
        <v>No</v>
      </c>
    </row>
    <row r="345" spans="1:16" x14ac:dyDescent="0.3">
      <c r="A345" s="2" t="s">
        <v>2424</v>
      </c>
      <c r="B345" s="3">
        <v>43692</v>
      </c>
      <c r="C345" s="2" t="s">
        <v>2425</v>
      </c>
      <c r="D345" t="s">
        <v>6172</v>
      </c>
      <c r="E345" s="2">
        <v>6</v>
      </c>
      <c r="F345" s="2" t="str">
        <f>_xlfn.XLOOKUP(C345,Customers!$A$2:$A$1001,Customers!$B$2:$B$1001,0)</f>
        <v>Noam Climance</v>
      </c>
      <c r="G345" s="2" t="str">
        <f>IF(_xlfn.XLOOKUP(C345,Customers!$A$2:$A$1001,Customers!$C$2:$C$1001)=0,"",_xlfn.XLOOKUP(C345,Customers!$A$2:$A$1001,Customers!$C$2:$C$1001))</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_xlfn.XLOOKUP(Orders[[#This Row],[Customer ID]],Customers!$A$2:$A$1001,Customers!$I$2:$I$1001,0)</f>
        <v>No</v>
      </c>
    </row>
    <row r="346" spans="1:16" x14ac:dyDescent="0.3">
      <c r="A346" s="2" t="s">
        <v>2429</v>
      </c>
      <c r="B346" s="3">
        <v>44529</v>
      </c>
      <c r="C346" s="2" t="s">
        <v>2430</v>
      </c>
      <c r="D346" t="s">
        <v>6138</v>
      </c>
      <c r="E346" s="2">
        <v>2</v>
      </c>
      <c r="F346" s="2" t="str">
        <f>_xlfn.XLOOKUP(C346,Customers!$A$2:$A$1001,Customers!$B$2:$B$1001,0)</f>
        <v>Catarina Donn</v>
      </c>
      <c r="G346" s="2" t="str">
        <f>IF(_xlfn.XLOOKUP(C346,Customers!$A$2:$A$1001,Customers!$C$2:$C$1001)=0,"",_xlfn.XLOOKUP(C346,Customers!$A$2:$A$1001,Customers!$C$2:$C$1001))</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_xlfn.XLOOKUP(Orders[[#This Row],[Customer ID]],Customers!$A$2:$A$1001,Customers!$I$2:$I$1001,0)</f>
        <v>Yes</v>
      </c>
    </row>
    <row r="347" spans="1:16" x14ac:dyDescent="0.3">
      <c r="A347" s="2" t="s">
        <v>2434</v>
      </c>
      <c r="B347" s="3">
        <v>43849</v>
      </c>
      <c r="C347" s="2" t="s">
        <v>2435</v>
      </c>
      <c r="D347" t="s">
        <v>6179</v>
      </c>
      <c r="E347" s="2">
        <v>5</v>
      </c>
      <c r="F347" s="2" t="str">
        <f>_xlfn.XLOOKUP(C347,Customers!$A$2:$A$1001,Customers!$B$2:$B$1001,0)</f>
        <v>Ameline Snazle</v>
      </c>
      <c r="G347" s="2" t="str">
        <f>IF(_xlfn.XLOOKUP(C347,Customers!$A$2:$A$1001,Customers!$C$2:$C$1001)=0,"",_xlfn.XLOOKUP(C347,Customers!$A$2:$A$1001,Customers!$C$2:$C$1001))</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_xlfn.XLOOKUP(Orders[[#This Row],[Customer ID]],Customers!$A$2:$A$1001,Customers!$I$2:$I$1001,0)</f>
        <v>No</v>
      </c>
    </row>
    <row r="348" spans="1:16" x14ac:dyDescent="0.3">
      <c r="A348" s="2" t="s">
        <v>2440</v>
      </c>
      <c r="B348" s="3">
        <v>44344</v>
      </c>
      <c r="C348" s="2" t="s">
        <v>2441</v>
      </c>
      <c r="D348" t="s">
        <v>6180</v>
      </c>
      <c r="E348" s="2">
        <v>3</v>
      </c>
      <c r="F348" s="2" t="str">
        <f>_xlfn.XLOOKUP(C348,Customers!$A$2:$A$1001,Customers!$B$2:$B$1001,0)</f>
        <v>Rebeka Worg</v>
      </c>
      <c r="G348" s="2" t="str">
        <f>IF(_xlfn.XLOOKUP(C348,Customers!$A$2:$A$1001,Customers!$C$2:$C$1001)=0,"",_xlfn.XLOOKUP(C348,Customers!$A$2:$A$1001,Customers!$C$2:$C$1001))</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_xlfn.XLOOKUP(Orders[[#This Row],[Customer ID]],Customers!$A$2:$A$1001,Customers!$I$2:$I$1001,0)</f>
        <v>Yes</v>
      </c>
    </row>
    <row r="349" spans="1:16" x14ac:dyDescent="0.3">
      <c r="A349" s="2" t="s">
        <v>2446</v>
      </c>
      <c r="B349" s="3">
        <v>44576</v>
      </c>
      <c r="C349" s="2" t="s">
        <v>2447</v>
      </c>
      <c r="D349" t="s">
        <v>6162</v>
      </c>
      <c r="E349" s="2">
        <v>3</v>
      </c>
      <c r="F349" s="2" t="str">
        <f>_xlfn.XLOOKUP(C349,Customers!$A$2:$A$1001,Customers!$B$2:$B$1001,0)</f>
        <v>Lewes Danes</v>
      </c>
      <c r="G349" s="2" t="str">
        <f>IF(_xlfn.XLOOKUP(C349,Customers!$A$2:$A$1001,Customers!$C$2:$C$1001)=0,"",_xlfn.XLOOKUP(C349,Customers!$A$2:$A$1001,Customers!$C$2:$C$1001))</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_xlfn.XLOOKUP(Orders[[#This Row],[Customer ID]],Customers!$A$2:$A$1001,Customers!$I$2:$I$1001,0)</f>
        <v>No</v>
      </c>
    </row>
    <row r="350" spans="1:16" x14ac:dyDescent="0.3">
      <c r="A350" s="2" t="s">
        <v>2452</v>
      </c>
      <c r="B350" s="3">
        <v>43803</v>
      </c>
      <c r="C350" s="2" t="s">
        <v>2453</v>
      </c>
      <c r="D350" t="s">
        <v>6148</v>
      </c>
      <c r="E350" s="2">
        <v>6</v>
      </c>
      <c r="F350" s="2" t="str">
        <f>_xlfn.XLOOKUP(C350,Customers!$A$2:$A$1001,Customers!$B$2:$B$1001,0)</f>
        <v>Shelli Keynd</v>
      </c>
      <c r="G350" s="2" t="str">
        <f>IF(_xlfn.XLOOKUP(C350,Customers!$A$2:$A$1001,Customers!$C$2:$C$1001)=0,"",_xlfn.XLOOKUP(C350,Customers!$A$2:$A$1001,Customers!$C$2:$C$1001))</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_xlfn.XLOOKUP(Orders[[#This Row],[Customer ID]],Customers!$A$2:$A$1001,Customers!$I$2:$I$1001,0)</f>
        <v>No</v>
      </c>
    </row>
    <row r="351" spans="1:16" x14ac:dyDescent="0.3">
      <c r="A351" s="2" t="s">
        <v>2458</v>
      </c>
      <c r="B351" s="3">
        <v>44743</v>
      </c>
      <c r="C351" s="2" t="s">
        <v>2459</v>
      </c>
      <c r="D351" t="s">
        <v>6178</v>
      </c>
      <c r="E351" s="2">
        <v>4</v>
      </c>
      <c r="F351" s="2" t="str">
        <f>_xlfn.XLOOKUP(C351,Customers!$A$2:$A$1001,Customers!$B$2:$B$1001,0)</f>
        <v>Dell Daveridge</v>
      </c>
      <c r="G351" s="2" t="str">
        <f>IF(_xlfn.XLOOKUP(C351,Customers!$A$2:$A$1001,Customers!$C$2:$C$1001)=0,"",_xlfn.XLOOKUP(C351,Customers!$A$2:$A$1001,Customers!$C$2:$C$1001))</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_xlfn.XLOOKUP(Orders[[#This Row],[Customer ID]],Customers!$A$2:$A$1001,Customers!$I$2:$I$1001,0)</f>
        <v>No</v>
      </c>
    </row>
    <row r="352" spans="1:16" x14ac:dyDescent="0.3">
      <c r="A352" s="2" t="s">
        <v>2464</v>
      </c>
      <c r="B352" s="3">
        <v>43592</v>
      </c>
      <c r="C352" s="2" t="s">
        <v>2465</v>
      </c>
      <c r="D352" t="s">
        <v>6158</v>
      </c>
      <c r="E352" s="2">
        <v>4</v>
      </c>
      <c r="F352" s="2" t="str">
        <f>_xlfn.XLOOKUP(C352,Customers!$A$2:$A$1001,Customers!$B$2:$B$1001,0)</f>
        <v>Joshuah Awdry</v>
      </c>
      <c r="G352" s="2" t="str">
        <f>IF(_xlfn.XLOOKUP(C352,Customers!$A$2:$A$1001,Customers!$C$2:$C$1001)=0,"",_xlfn.XLOOKUP(C352,Customers!$A$2:$A$1001,Customers!$C$2:$C$1001))</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_xlfn.XLOOKUP(Orders[[#This Row],[Customer ID]],Customers!$A$2:$A$1001,Customers!$I$2:$I$1001,0)</f>
        <v>No</v>
      </c>
    </row>
    <row r="353" spans="1:16" x14ac:dyDescent="0.3">
      <c r="A353" s="2" t="s">
        <v>2470</v>
      </c>
      <c r="B353" s="3">
        <v>44066</v>
      </c>
      <c r="C353" s="2" t="s">
        <v>2471</v>
      </c>
      <c r="D353" t="s">
        <v>6155</v>
      </c>
      <c r="E353" s="2">
        <v>2</v>
      </c>
      <c r="F353" s="2" t="str">
        <f>_xlfn.XLOOKUP(C353,Customers!$A$2:$A$1001,Customers!$B$2:$B$1001,0)</f>
        <v>Ethel Ryles</v>
      </c>
      <c r="G353" s="2" t="str">
        <f>IF(_xlfn.XLOOKUP(C353,Customers!$A$2:$A$1001,Customers!$C$2:$C$1001)=0,"",_xlfn.XLOOKUP(C353,Customers!$A$2:$A$1001,Customers!$C$2:$C$1001))</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_xlfn.XLOOKUP(Orders[[#This Row],[Customer ID]],Customers!$A$2:$A$1001,Customers!$I$2:$I$1001,0)</f>
        <v>No</v>
      </c>
    </row>
    <row r="354" spans="1:16" x14ac:dyDescent="0.3">
      <c r="A354" s="2" t="s">
        <v>2476</v>
      </c>
      <c r="B354" s="3">
        <v>43984</v>
      </c>
      <c r="C354" s="2" t="s">
        <v>2331</v>
      </c>
      <c r="D354" t="s">
        <v>6144</v>
      </c>
      <c r="E354" s="2">
        <v>5</v>
      </c>
      <c r="F354" s="2" t="str">
        <f>_xlfn.XLOOKUP(C354,Customers!$A$2:$A$1001,Customers!$B$2:$B$1001,0)</f>
        <v>Flynn Antony</v>
      </c>
      <c r="G354" s="2" t="str">
        <f>IF(_xlfn.XLOOKUP(C354,Customers!$A$2:$A$1001,Customers!$C$2:$C$1001)=0,"",_xlfn.XLOOKUP(C354,Customers!$A$2:$A$1001,Customers!$C$2:$C$1001))</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_xlfn.XLOOKUP(Orders[[#This Row],[Customer ID]],Customers!$A$2:$A$1001,Customers!$I$2:$I$1001,0)</f>
        <v>No</v>
      </c>
    </row>
    <row r="355" spans="1:16" x14ac:dyDescent="0.3">
      <c r="A355" s="2" t="s">
        <v>2482</v>
      </c>
      <c r="B355" s="3">
        <v>43860</v>
      </c>
      <c r="C355" s="2" t="s">
        <v>2483</v>
      </c>
      <c r="D355" t="s">
        <v>6157</v>
      </c>
      <c r="E355" s="2">
        <v>4</v>
      </c>
      <c r="F355" s="2" t="str">
        <f>_xlfn.XLOOKUP(C355,Customers!$A$2:$A$1001,Customers!$B$2:$B$1001,0)</f>
        <v>Maitilde Boxill</v>
      </c>
      <c r="G355" s="2" t="str">
        <f>IF(_xlfn.XLOOKUP(C355,Customers!$A$2:$A$1001,Customers!$C$2:$C$1001)=0,"",_xlfn.XLOOKUP(C355,Customers!$A$2:$A$1001,Customers!$C$2:$C$1001))</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_xlfn.XLOOKUP(Orders[[#This Row],[Customer ID]],Customers!$A$2:$A$1001,Customers!$I$2:$I$1001,0)</f>
        <v>Yes</v>
      </c>
    </row>
    <row r="356" spans="1:16" x14ac:dyDescent="0.3">
      <c r="A356" s="2" t="s">
        <v>2487</v>
      </c>
      <c r="B356" s="3">
        <v>43876</v>
      </c>
      <c r="C356" s="2" t="s">
        <v>2488</v>
      </c>
      <c r="D356" t="s">
        <v>6175</v>
      </c>
      <c r="E356" s="2">
        <v>6</v>
      </c>
      <c r="F356" s="2" t="str">
        <f>_xlfn.XLOOKUP(C356,Customers!$A$2:$A$1001,Customers!$B$2:$B$1001,0)</f>
        <v>Jodee Caldicott</v>
      </c>
      <c r="G356" s="2" t="str">
        <f>IF(_xlfn.XLOOKUP(C356,Customers!$A$2:$A$1001,Customers!$C$2:$C$1001)=0,"",_xlfn.XLOOKUP(C356,Customers!$A$2:$A$1001,Customers!$C$2:$C$1001))</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_xlfn.XLOOKUP(Orders[[#This Row],[Customer ID]],Customers!$A$2:$A$1001,Customers!$I$2:$I$1001,0)</f>
        <v>No</v>
      </c>
    </row>
    <row r="357" spans="1:16" x14ac:dyDescent="0.3">
      <c r="A357" s="2" t="s">
        <v>2492</v>
      </c>
      <c r="B357" s="3">
        <v>44358</v>
      </c>
      <c r="C357" s="2" t="s">
        <v>2493</v>
      </c>
      <c r="D357" t="s">
        <v>6168</v>
      </c>
      <c r="E357" s="2">
        <v>5</v>
      </c>
      <c r="F357" s="2" t="str">
        <f>_xlfn.XLOOKUP(C357,Customers!$A$2:$A$1001,Customers!$B$2:$B$1001,0)</f>
        <v>Marianna Vedmore</v>
      </c>
      <c r="G357" s="2" t="str">
        <f>IF(_xlfn.XLOOKUP(C357,Customers!$A$2:$A$1001,Customers!$C$2:$C$1001)=0,"",_xlfn.XLOOKUP(C357,Customers!$A$2:$A$1001,Customers!$C$2:$C$1001))</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_xlfn.XLOOKUP(Orders[[#This Row],[Customer ID]],Customers!$A$2:$A$1001,Customers!$I$2:$I$1001,0)</f>
        <v>Yes</v>
      </c>
    </row>
    <row r="358" spans="1:16" x14ac:dyDescent="0.3">
      <c r="A358" s="2" t="s">
        <v>2498</v>
      </c>
      <c r="B358" s="3">
        <v>44631</v>
      </c>
      <c r="C358" s="2" t="s">
        <v>2499</v>
      </c>
      <c r="D358" t="s">
        <v>6143</v>
      </c>
      <c r="E358" s="2">
        <v>4</v>
      </c>
      <c r="F358" s="2" t="str">
        <f>_xlfn.XLOOKUP(C358,Customers!$A$2:$A$1001,Customers!$B$2:$B$1001,0)</f>
        <v>Willey Romao</v>
      </c>
      <c r="G358" s="2" t="str">
        <f>IF(_xlfn.XLOOKUP(C358,Customers!$A$2:$A$1001,Customers!$C$2:$C$1001)=0,"",_xlfn.XLOOKUP(C358,Customers!$A$2:$A$1001,Customers!$C$2:$C$1001))</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_xlfn.XLOOKUP(Orders[[#This Row],[Customer ID]],Customers!$A$2:$A$1001,Customers!$I$2:$I$1001,0)</f>
        <v>Yes</v>
      </c>
    </row>
    <row r="359" spans="1:16" x14ac:dyDescent="0.3">
      <c r="A359" s="2" t="s">
        <v>2504</v>
      </c>
      <c r="B359" s="3">
        <v>44448</v>
      </c>
      <c r="C359" s="2" t="s">
        <v>2505</v>
      </c>
      <c r="D359" t="s">
        <v>6175</v>
      </c>
      <c r="E359" s="2">
        <v>6</v>
      </c>
      <c r="F359" s="2" t="str">
        <f>_xlfn.XLOOKUP(C359,Customers!$A$2:$A$1001,Customers!$B$2:$B$1001,0)</f>
        <v>Enriqueta Ixor</v>
      </c>
      <c r="G359" s="2" t="str">
        <f>IF(_xlfn.XLOOKUP(C359,Customers!$A$2:$A$1001,Customers!$C$2:$C$1001)=0,"",_xlfn.XLOOKUP(C359,Customers!$A$2:$A$1001,Customers!$C$2:$C$1001))</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_xlfn.XLOOKUP(Orders[[#This Row],[Customer ID]],Customers!$A$2:$A$1001,Customers!$I$2:$I$1001,0)</f>
        <v>No</v>
      </c>
    </row>
    <row r="360" spans="1:16" x14ac:dyDescent="0.3">
      <c r="A360" s="2" t="s">
        <v>2509</v>
      </c>
      <c r="B360" s="3">
        <v>43599</v>
      </c>
      <c r="C360" s="2" t="s">
        <v>2510</v>
      </c>
      <c r="D360" t="s">
        <v>6182</v>
      </c>
      <c r="E360" s="2">
        <v>1</v>
      </c>
      <c r="F360" s="2" t="str">
        <f>_xlfn.XLOOKUP(C360,Customers!$A$2:$A$1001,Customers!$B$2:$B$1001,0)</f>
        <v>Tomasina Cotmore</v>
      </c>
      <c r="G360" s="2" t="str">
        <f>IF(_xlfn.XLOOKUP(C360,Customers!$A$2:$A$1001,Customers!$C$2:$C$1001)=0,"",_xlfn.XLOOKUP(C360,Customers!$A$2:$A$1001,Customers!$C$2:$C$1001))</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_xlfn.XLOOKUP(Orders[[#This Row],[Customer ID]],Customers!$A$2:$A$1001,Customers!$I$2:$I$1001,0)</f>
        <v>No</v>
      </c>
    </row>
    <row r="361" spans="1:16" x14ac:dyDescent="0.3">
      <c r="A361" s="2" t="s">
        <v>2515</v>
      </c>
      <c r="B361" s="3">
        <v>43563</v>
      </c>
      <c r="C361" s="2" t="s">
        <v>2516</v>
      </c>
      <c r="D361" t="s">
        <v>6178</v>
      </c>
      <c r="E361" s="2">
        <v>6</v>
      </c>
      <c r="F361" s="2" t="str">
        <f>_xlfn.XLOOKUP(C361,Customers!$A$2:$A$1001,Customers!$B$2:$B$1001,0)</f>
        <v>Yuma Skipsey</v>
      </c>
      <c r="G361" s="2" t="str">
        <f>IF(_xlfn.XLOOKUP(C361,Customers!$A$2:$A$1001,Customers!$C$2:$C$1001)=0,"",_xlfn.XLOOKUP(C361,Customers!$A$2:$A$1001,Customers!$C$2:$C$1001))</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_xlfn.XLOOKUP(Orders[[#This Row],[Customer ID]],Customers!$A$2:$A$1001,Customers!$I$2:$I$1001,0)</f>
        <v>No</v>
      </c>
    </row>
    <row r="362" spans="1:16" x14ac:dyDescent="0.3">
      <c r="A362" s="2" t="s">
        <v>2521</v>
      </c>
      <c r="B362" s="3">
        <v>44058</v>
      </c>
      <c r="C362" s="2" t="s">
        <v>2522</v>
      </c>
      <c r="D362" t="s">
        <v>6149</v>
      </c>
      <c r="E362" s="2">
        <v>2</v>
      </c>
      <c r="F362" s="2" t="str">
        <f>_xlfn.XLOOKUP(C362,Customers!$A$2:$A$1001,Customers!$B$2:$B$1001,0)</f>
        <v>Nicko Corps</v>
      </c>
      <c r="G362" s="2" t="str">
        <f>IF(_xlfn.XLOOKUP(C362,Customers!$A$2:$A$1001,Customers!$C$2:$C$1001)=0,"",_xlfn.XLOOKUP(C362,Customers!$A$2:$A$1001,Customers!$C$2:$C$1001))</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_xlfn.XLOOKUP(Orders[[#This Row],[Customer ID]],Customers!$A$2:$A$1001,Customers!$I$2:$I$1001,0)</f>
        <v>No</v>
      </c>
    </row>
    <row r="363" spans="1:16" x14ac:dyDescent="0.3">
      <c r="A363" s="2" t="s">
        <v>2521</v>
      </c>
      <c r="B363" s="3">
        <v>44058</v>
      </c>
      <c r="C363" s="2" t="s">
        <v>2522</v>
      </c>
      <c r="D363" t="s">
        <v>6146</v>
      </c>
      <c r="E363" s="2">
        <v>1</v>
      </c>
      <c r="F363" s="2" t="str">
        <f>_xlfn.XLOOKUP(C363,Customers!$A$2:$A$1001,Customers!$B$2:$B$1001,0)</f>
        <v>Nicko Corps</v>
      </c>
      <c r="G363" s="2" t="str">
        <f>IF(_xlfn.XLOOKUP(C363,Customers!$A$2:$A$1001,Customers!$C$2:$C$1001)=0,"",_xlfn.XLOOKUP(C363,Customers!$A$2:$A$1001,Customers!$C$2:$C$1001))</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_xlfn.XLOOKUP(Orders[[#This Row],[Customer ID]],Customers!$A$2:$A$1001,Customers!$I$2:$I$1001,0)</f>
        <v>No</v>
      </c>
    </row>
    <row r="364" spans="1:16" x14ac:dyDescent="0.3">
      <c r="A364" s="2" t="s">
        <v>2532</v>
      </c>
      <c r="B364" s="3">
        <v>44686</v>
      </c>
      <c r="C364" s="2" t="s">
        <v>2533</v>
      </c>
      <c r="D364" t="s">
        <v>6171</v>
      </c>
      <c r="E364" s="2">
        <v>5</v>
      </c>
      <c r="F364" s="2" t="str">
        <f>_xlfn.XLOOKUP(C364,Customers!$A$2:$A$1001,Customers!$B$2:$B$1001,0)</f>
        <v>Feliks Babber</v>
      </c>
      <c r="G364" s="2" t="str">
        <f>IF(_xlfn.XLOOKUP(C364,Customers!$A$2:$A$1001,Customers!$C$2:$C$1001)=0,"",_xlfn.XLOOKUP(C364,Customers!$A$2:$A$1001,Customers!$C$2:$C$1001))</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_xlfn.XLOOKUP(Orders[[#This Row],[Customer ID]],Customers!$A$2:$A$1001,Customers!$I$2:$I$1001,0)</f>
        <v>Yes</v>
      </c>
    </row>
    <row r="365" spans="1:16" x14ac:dyDescent="0.3">
      <c r="A365" s="2" t="s">
        <v>2538</v>
      </c>
      <c r="B365" s="3">
        <v>44282</v>
      </c>
      <c r="C365" s="2" t="s">
        <v>2539</v>
      </c>
      <c r="D365" t="s">
        <v>6162</v>
      </c>
      <c r="E365" s="2">
        <v>6</v>
      </c>
      <c r="F365" s="2" t="str">
        <f>_xlfn.XLOOKUP(C365,Customers!$A$2:$A$1001,Customers!$B$2:$B$1001,0)</f>
        <v>Kaja Loxton</v>
      </c>
      <c r="G365" s="2" t="str">
        <f>IF(_xlfn.XLOOKUP(C365,Customers!$A$2:$A$1001,Customers!$C$2:$C$1001)=0,"",_xlfn.XLOOKUP(C365,Customers!$A$2:$A$1001,Customers!$C$2:$C$1001))</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_xlfn.XLOOKUP(Orders[[#This Row],[Customer ID]],Customers!$A$2:$A$1001,Customers!$I$2:$I$1001,0)</f>
        <v>No</v>
      </c>
    </row>
    <row r="366" spans="1:16" x14ac:dyDescent="0.3">
      <c r="A366" s="2" t="s">
        <v>2543</v>
      </c>
      <c r="B366" s="3">
        <v>43582</v>
      </c>
      <c r="C366" s="2" t="s">
        <v>2544</v>
      </c>
      <c r="D366" t="s">
        <v>6183</v>
      </c>
      <c r="E366" s="2">
        <v>6</v>
      </c>
      <c r="F366" s="2" t="str">
        <f>_xlfn.XLOOKUP(C366,Customers!$A$2:$A$1001,Customers!$B$2:$B$1001,0)</f>
        <v>Parker Tofful</v>
      </c>
      <c r="G366" s="2" t="str">
        <f>IF(_xlfn.XLOOKUP(C366,Customers!$A$2:$A$1001,Customers!$C$2:$C$1001)=0,"",_xlfn.XLOOKUP(C366,Customers!$A$2:$A$1001,Customers!$C$2:$C$1001))</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_xlfn.XLOOKUP(Orders[[#This Row],[Customer ID]],Customers!$A$2:$A$1001,Customers!$I$2:$I$1001,0)</f>
        <v>Yes</v>
      </c>
    </row>
    <row r="367" spans="1:16" x14ac:dyDescent="0.3">
      <c r="A367" s="2" t="s">
        <v>2549</v>
      </c>
      <c r="B367" s="3">
        <v>44464</v>
      </c>
      <c r="C367" s="2" t="s">
        <v>2550</v>
      </c>
      <c r="D367" t="s">
        <v>6169</v>
      </c>
      <c r="E367" s="2">
        <v>1</v>
      </c>
      <c r="F367" s="2" t="str">
        <f>_xlfn.XLOOKUP(C367,Customers!$A$2:$A$1001,Customers!$B$2:$B$1001,0)</f>
        <v>Casi Gwinnett</v>
      </c>
      <c r="G367" s="2" t="str">
        <f>IF(_xlfn.XLOOKUP(C367,Customers!$A$2:$A$1001,Customers!$C$2:$C$1001)=0,"",_xlfn.XLOOKUP(C367,Customers!$A$2:$A$1001,Customers!$C$2:$C$1001))</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_xlfn.XLOOKUP(Orders[[#This Row],[Customer ID]],Customers!$A$2:$A$1001,Customers!$I$2:$I$1001,0)</f>
        <v>No</v>
      </c>
    </row>
    <row r="368" spans="1:16" x14ac:dyDescent="0.3">
      <c r="A368" s="2" t="s">
        <v>2554</v>
      </c>
      <c r="B368" s="3">
        <v>43874</v>
      </c>
      <c r="C368" s="2" t="s">
        <v>2555</v>
      </c>
      <c r="D368" t="s">
        <v>6144</v>
      </c>
      <c r="E368" s="2">
        <v>6</v>
      </c>
      <c r="F368" s="2" t="str">
        <f>_xlfn.XLOOKUP(C368,Customers!$A$2:$A$1001,Customers!$B$2:$B$1001,0)</f>
        <v>Saree Ellesworth</v>
      </c>
      <c r="G368" s="2" t="str">
        <f>IF(_xlfn.XLOOKUP(C368,Customers!$A$2:$A$1001,Customers!$C$2:$C$1001)=0,"",_xlfn.XLOOKUP(C368,Customers!$A$2:$A$1001,Customers!$C$2:$C$1001))</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_xlfn.XLOOKUP(Orders[[#This Row],[Customer ID]],Customers!$A$2:$A$1001,Customers!$I$2:$I$1001,0)</f>
        <v>No</v>
      </c>
    </row>
    <row r="369" spans="1:16" x14ac:dyDescent="0.3">
      <c r="A369" s="2" t="s">
        <v>2559</v>
      </c>
      <c r="B369" s="3">
        <v>44393</v>
      </c>
      <c r="C369" s="2" t="s">
        <v>2560</v>
      </c>
      <c r="D369" t="s">
        <v>6159</v>
      </c>
      <c r="E369" s="2">
        <v>2</v>
      </c>
      <c r="F369" s="2" t="str">
        <f>_xlfn.XLOOKUP(C369,Customers!$A$2:$A$1001,Customers!$B$2:$B$1001,0)</f>
        <v>Silvio Iorizzi</v>
      </c>
      <c r="G369" s="2" t="str">
        <f>IF(_xlfn.XLOOKUP(C369,Customers!$A$2:$A$1001,Customers!$C$2:$C$1001)=0,"",_xlfn.XLOOKUP(C369,Customers!$A$2:$A$1001,Customers!$C$2:$C$1001))</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_xlfn.XLOOKUP(Orders[[#This Row],[Customer ID]],Customers!$A$2:$A$1001,Customers!$I$2:$I$1001,0)</f>
        <v>Yes</v>
      </c>
    </row>
    <row r="370" spans="1:16" x14ac:dyDescent="0.3">
      <c r="A370" s="2" t="s">
        <v>2563</v>
      </c>
      <c r="B370" s="3">
        <v>44692</v>
      </c>
      <c r="C370" s="2" t="s">
        <v>2564</v>
      </c>
      <c r="D370" t="s">
        <v>6166</v>
      </c>
      <c r="E370" s="2">
        <v>2</v>
      </c>
      <c r="F370" s="2" t="str">
        <f>_xlfn.XLOOKUP(C370,Customers!$A$2:$A$1001,Customers!$B$2:$B$1001,0)</f>
        <v>Leesa Flaonier</v>
      </c>
      <c r="G370" s="2" t="str">
        <f>IF(_xlfn.XLOOKUP(C370,Customers!$A$2:$A$1001,Customers!$C$2:$C$1001)=0,"",_xlfn.XLOOKUP(C370,Customers!$A$2:$A$1001,Customers!$C$2:$C$1001))</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_xlfn.XLOOKUP(Orders[[#This Row],[Customer ID]],Customers!$A$2:$A$1001,Customers!$I$2:$I$1001,0)</f>
        <v>No</v>
      </c>
    </row>
    <row r="371" spans="1:16" x14ac:dyDescent="0.3">
      <c r="A371" s="2" t="s">
        <v>2569</v>
      </c>
      <c r="B371" s="3">
        <v>43500</v>
      </c>
      <c r="C371" s="2" t="s">
        <v>2570</v>
      </c>
      <c r="D371" t="s">
        <v>6176</v>
      </c>
      <c r="E371" s="2">
        <v>1</v>
      </c>
      <c r="F371" s="2" t="str">
        <f>_xlfn.XLOOKUP(C371,Customers!$A$2:$A$1001,Customers!$B$2:$B$1001,0)</f>
        <v>Abba Pummell</v>
      </c>
      <c r="G371" s="2" t="str">
        <f>IF(_xlfn.XLOOKUP(C371,Customers!$A$2:$A$1001,Customers!$C$2:$C$1001)=0,"",_xlfn.XLOOKUP(C371,Customers!$A$2:$A$1001,Customers!$C$2:$C$1001))</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_xlfn.XLOOKUP(Orders[[#This Row],[Customer ID]],Customers!$A$2:$A$1001,Customers!$I$2:$I$1001,0)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IF(_xlfn.XLOOKUP(C372,Customers!$A$2:$A$1001,Customers!$C$2:$C$1001)=0,"",_xlfn.XLOOKUP(C372,Customers!$A$2:$A$1001,Customers!$C$2:$C$1001))</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_xlfn.XLOOKUP(Orders[[#This Row],[Customer ID]],Customers!$A$2:$A$1001,Customers!$I$2:$I$1001,0)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IF(_xlfn.XLOOKUP(C373,Customers!$A$2:$A$1001,Customers!$C$2:$C$1001)=0,"",_xlfn.XLOOKUP(C373,Customers!$A$2:$A$1001,Customers!$C$2:$C$1001))</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_xlfn.XLOOKUP(Orders[[#This Row],[Customer ID]],Customers!$A$2:$A$1001,Customers!$I$2:$I$1001,0)</f>
        <v>Yes</v>
      </c>
    </row>
    <row r="374" spans="1:16" x14ac:dyDescent="0.3">
      <c r="A374" s="2" t="s">
        <v>2585</v>
      </c>
      <c r="B374" s="3">
        <v>44108</v>
      </c>
      <c r="C374" s="2" t="s">
        <v>2586</v>
      </c>
      <c r="D374" t="s">
        <v>6173</v>
      </c>
      <c r="E374" s="2">
        <v>6</v>
      </c>
      <c r="F374" s="2" t="str">
        <f>_xlfn.XLOOKUP(C374,Customers!$A$2:$A$1001,Customers!$B$2:$B$1001,0)</f>
        <v>Terri Farra</v>
      </c>
      <c r="G374" s="2" t="str">
        <f>IF(_xlfn.XLOOKUP(C374,Customers!$A$2:$A$1001,Customers!$C$2:$C$1001)=0,"",_xlfn.XLOOKUP(C374,Customers!$A$2:$A$1001,Customers!$C$2:$C$1001))</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_xlfn.XLOOKUP(Orders[[#This Row],[Customer ID]],Customers!$A$2:$A$1001,Customers!$I$2:$I$1001,0)</f>
        <v>No</v>
      </c>
    </row>
    <row r="375" spans="1:16" x14ac:dyDescent="0.3">
      <c r="A375" s="2" t="s">
        <v>2591</v>
      </c>
      <c r="B375" s="3">
        <v>44742</v>
      </c>
      <c r="C375" s="2" t="s">
        <v>2592</v>
      </c>
      <c r="D375" t="s">
        <v>6158</v>
      </c>
      <c r="E375" s="2">
        <v>3</v>
      </c>
      <c r="F375" s="2" t="str">
        <f>_xlfn.XLOOKUP(C375,Customers!$A$2:$A$1001,Customers!$B$2:$B$1001,0)</f>
        <v>Corney Curme</v>
      </c>
      <c r="G375" s="2" t="str">
        <f>IF(_xlfn.XLOOKUP(C375,Customers!$A$2:$A$1001,Customers!$C$2:$C$1001)=0,"",_xlfn.XLOOKUP(C375,Customers!$A$2:$A$1001,Customers!$C$2:$C$1001))</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_xlfn.XLOOKUP(Orders[[#This Row],[Customer ID]],Customers!$A$2:$A$1001,Customers!$I$2:$I$1001,0)</f>
        <v>Yes</v>
      </c>
    </row>
    <row r="376" spans="1:16" x14ac:dyDescent="0.3">
      <c r="A376" s="2" t="s">
        <v>2597</v>
      </c>
      <c r="B376" s="3">
        <v>44125</v>
      </c>
      <c r="C376" s="2" t="s">
        <v>2598</v>
      </c>
      <c r="D376" t="s">
        <v>6161</v>
      </c>
      <c r="E376" s="2">
        <v>4</v>
      </c>
      <c r="F376" s="2" t="str">
        <f>_xlfn.XLOOKUP(C376,Customers!$A$2:$A$1001,Customers!$B$2:$B$1001,0)</f>
        <v>Gothart Bamfield</v>
      </c>
      <c r="G376" s="2" t="str">
        <f>IF(_xlfn.XLOOKUP(C376,Customers!$A$2:$A$1001,Customers!$C$2:$C$1001)=0,"",_xlfn.XLOOKUP(C376,Customers!$A$2:$A$1001,Customers!$C$2:$C$1001))</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_xlfn.XLOOKUP(Orders[[#This Row],[Customer ID]],Customers!$A$2:$A$1001,Customers!$I$2:$I$1001,0)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IF(_xlfn.XLOOKUP(C377,Customers!$A$2:$A$1001,Customers!$C$2:$C$1001)=0,"",_xlfn.XLOOKUP(C377,Customers!$A$2:$A$1001,Customers!$C$2:$C$1001))</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_xlfn.XLOOKUP(Orders[[#This Row],[Customer ID]],Customers!$A$2:$A$1001,Customers!$I$2:$I$1001,0)</f>
        <v>Yes</v>
      </c>
    </row>
    <row r="378" spans="1:16" x14ac:dyDescent="0.3">
      <c r="A378" s="2" t="s">
        <v>2609</v>
      </c>
      <c r="B378" s="3">
        <v>44097</v>
      </c>
      <c r="C378" s="2" t="s">
        <v>2610</v>
      </c>
      <c r="D378" t="s">
        <v>6146</v>
      </c>
      <c r="E378" s="2">
        <v>1</v>
      </c>
      <c r="F378" s="2" t="str">
        <f>_xlfn.XLOOKUP(C378,Customers!$A$2:$A$1001,Customers!$B$2:$B$1001,0)</f>
        <v>Judd De Leek</v>
      </c>
      <c r="G378" s="2" t="str">
        <f>IF(_xlfn.XLOOKUP(C378,Customers!$A$2:$A$1001,Customers!$C$2:$C$1001)=0,"",_xlfn.XLOOKUP(C378,Customers!$A$2:$A$1001,Customers!$C$2:$C$1001))</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_xlfn.XLOOKUP(Orders[[#This Row],[Customer ID]],Customers!$A$2:$A$1001,Customers!$I$2:$I$1001,0)</f>
        <v>Yes</v>
      </c>
    </row>
    <row r="379" spans="1:16" x14ac:dyDescent="0.3">
      <c r="A379" s="2" t="s">
        <v>2615</v>
      </c>
      <c r="B379" s="3">
        <v>43532</v>
      </c>
      <c r="C379" s="2" t="s">
        <v>2616</v>
      </c>
      <c r="D379" t="s">
        <v>6163</v>
      </c>
      <c r="E379" s="2">
        <v>3</v>
      </c>
      <c r="F379" s="2" t="str">
        <f>_xlfn.XLOOKUP(C379,Customers!$A$2:$A$1001,Customers!$B$2:$B$1001,0)</f>
        <v>Vanya Skullet</v>
      </c>
      <c r="G379" s="2" t="str">
        <f>IF(_xlfn.XLOOKUP(C379,Customers!$A$2:$A$1001,Customers!$C$2:$C$1001)=0,"",_xlfn.XLOOKUP(C379,Customers!$A$2:$A$1001,Customers!$C$2:$C$1001))</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_xlfn.XLOOKUP(Orders[[#This Row],[Customer ID]],Customers!$A$2:$A$1001,Customers!$I$2:$I$1001,0)</f>
        <v>No</v>
      </c>
    </row>
    <row r="380" spans="1:16" x14ac:dyDescent="0.3">
      <c r="A380" s="2" t="s">
        <v>2621</v>
      </c>
      <c r="B380" s="3">
        <v>44377</v>
      </c>
      <c r="C380" s="2" t="s">
        <v>2622</v>
      </c>
      <c r="D380" t="s">
        <v>6180</v>
      </c>
      <c r="E380" s="2">
        <v>3</v>
      </c>
      <c r="F380" s="2" t="str">
        <f>_xlfn.XLOOKUP(C380,Customers!$A$2:$A$1001,Customers!$B$2:$B$1001,0)</f>
        <v>Jany Rudeforth</v>
      </c>
      <c r="G380" s="2" t="str">
        <f>IF(_xlfn.XLOOKUP(C380,Customers!$A$2:$A$1001,Customers!$C$2:$C$1001)=0,"",_xlfn.XLOOKUP(C380,Customers!$A$2:$A$1001,Customers!$C$2:$C$1001))</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_xlfn.XLOOKUP(Orders[[#This Row],[Customer ID]],Customers!$A$2:$A$1001,Customers!$I$2:$I$1001,0)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IF(_xlfn.XLOOKUP(C381,Customers!$A$2:$A$1001,Customers!$C$2:$C$1001)=0,"",_xlfn.XLOOKUP(C381,Customers!$A$2:$A$1001,Customers!$C$2:$C$1001))</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_xlfn.XLOOKUP(Orders[[#This Row],[Customer ID]],Customers!$A$2:$A$1001,Customers!$I$2:$I$1001,0)</f>
        <v>Yes</v>
      </c>
    </row>
    <row r="382" spans="1:16" x14ac:dyDescent="0.3">
      <c r="A382" s="2" t="s">
        <v>2632</v>
      </c>
      <c r="B382" s="3">
        <v>44249</v>
      </c>
      <c r="C382" s="2" t="s">
        <v>2331</v>
      </c>
      <c r="D382" t="s">
        <v>6169</v>
      </c>
      <c r="E382" s="2">
        <v>3</v>
      </c>
      <c r="F382" s="2" t="str">
        <f>_xlfn.XLOOKUP(C382,Customers!$A$2:$A$1001,Customers!$B$2:$B$1001,0)</f>
        <v>Flynn Antony</v>
      </c>
      <c r="G382" s="2" t="str">
        <f>IF(_xlfn.XLOOKUP(C382,Customers!$A$2:$A$1001,Customers!$C$2:$C$1001)=0,"",_xlfn.XLOOKUP(C382,Customers!$A$2:$A$1001,Customers!$C$2:$C$1001))</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_xlfn.XLOOKUP(Orders[[#This Row],[Customer ID]],Customers!$A$2:$A$1001,Customers!$I$2:$I$1001,0)</f>
        <v>No</v>
      </c>
    </row>
    <row r="383" spans="1:16" x14ac:dyDescent="0.3">
      <c r="A383" s="2" t="s">
        <v>2638</v>
      </c>
      <c r="B383" s="3">
        <v>44646</v>
      </c>
      <c r="C383" s="2" t="s">
        <v>2639</v>
      </c>
      <c r="D383" t="s">
        <v>6154</v>
      </c>
      <c r="E383" s="2">
        <v>5</v>
      </c>
      <c r="F383" s="2" t="str">
        <f>_xlfn.XLOOKUP(C383,Customers!$A$2:$A$1001,Customers!$B$2:$B$1001,0)</f>
        <v>Pren Bess</v>
      </c>
      <c r="G383" s="2" t="str">
        <f>IF(_xlfn.XLOOKUP(C383,Customers!$A$2:$A$1001,Customers!$C$2:$C$1001)=0,"",_xlfn.XLOOKUP(C383,Customers!$A$2:$A$1001,Customers!$C$2:$C$1001))</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_xlfn.XLOOKUP(Orders[[#This Row],[Customer ID]],Customers!$A$2:$A$1001,Customers!$I$2:$I$1001,0)</f>
        <v>Yes</v>
      </c>
    </row>
    <row r="384" spans="1:16" x14ac:dyDescent="0.3">
      <c r="A384" s="2" t="s">
        <v>2644</v>
      </c>
      <c r="B384" s="3">
        <v>43840</v>
      </c>
      <c r="C384" s="2" t="s">
        <v>2645</v>
      </c>
      <c r="D384" t="s">
        <v>6144</v>
      </c>
      <c r="E384" s="2">
        <v>3</v>
      </c>
      <c r="F384" s="2" t="str">
        <f>_xlfn.XLOOKUP(C384,Customers!$A$2:$A$1001,Customers!$B$2:$B$1001,0)</f>
        <v>Elka Windress</v>
      </c>
      <c r="G384" s="2" t="str">
        <f>IF(_xlfn.XLOOKUP(C384,Customers!$A$2:$A$1001,Customers!$C$2:$C$1001)=0,"",_xlfn.XLOOKUP(C384,Customers!$A$2:$A$1001,Customers!$C$2:$C$1001))</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_xlfn.XLOOKUP(Orders[[#This Row],[Customer ID]],Customers!$A$2:$A$1001,Customers!$I$2:$I$1001,0)</f>
        <v>No</v>
      </c>
    </row>
    <row r="385" spans="1:16" x14ac:dyDescent="0.3">
      <c r="A385" s="2" t="s">
        <v>2650</v>
      </c>
      <c r="B385" s="3">
        <v>43586</v>
      </c>
      <c r="C385" s="2" t="s">
        <v>2651</v>
      </c>
      <c r="D385" t="s">
        <v>6176</v>
      </c>
      <c r="E385" s="2">
        <v>6</v>
      </c>
      <c r="F385" s="2" t="str">
        <f>_xlfn.XLOOKUP(C385,Customers!$A$2:$A$1001,Customers!$B$2:$B$1001,0)</f>
        <v>Marty Kidstoun</v>
      </c>
      <c r="G385" s="2" t="str">
        <f>IF(_xlfn.XLOOKUP(C385,Customers!$A$2:$A$1001,Customers!$C$2:$C$1001)=0,"",_xlfn.XLOOKUP(C385,Customers!$A$2:$A$1001,Customers!$C$2:$C$1001))</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_xlfn.XLOOKUP(Orders[[#This Row],[Customer ID]],Customers!$A$2:$A$1001,Customers!$I$2:$I$1001,0)</f>
        <v>Yes</v>
      </c>
    </row>
    <row r="386" spans="1:16" x14ac:dyDescent="0.3">
      <c r="A386" s="2" t="s">
        <v>2655</v>
      </c>
      <c r="B386" s="3">
        <v>43870</v>
      </c>
      <c r="C386" s="2" t="s">
        <v>2656</v>
      </c>
      <c r="D386" t="s">
        <v>6182</v>
      </c>
      <c r="E386" s="2">
        <v>4</v>
      </c>
      <c r="F386" s="2" t="str">
        <f>_xlfn.XLOOKUP(C386,Customers!$A$2:$A$1001,Customers!$B$2:$B$1001,0)</f>
        <v>Nickey Dimbleby</v>
      </c>
      <c r="G386" s="2" t="str">
        <f>IF(_xlfn.XLOOKUP(C386,Customers!$A$2:$A$1001,Customers!$C$2:$C$1001)=0,"",_xlfn.XLOOKUP(C386,Customers!$A$2:$A$1001,Customers!$C$2:$C$1001))</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ref="M386:M449" si="18">L386*E386</f>
        <v>119.13999999999999</v>
      </c>
      <c r="N386" t="str">
        <f t="shared" ref="N386:N449" si="19">IF(I386="Rob","Robusta",IF(I386="Exc","Excelsa",IF(I386="Ara","Arabica",IF(I386="Lib","Liberica",""))))</f>
        <v>Arabica</v>
      </c>
      <c r="O386" t="str">
        <f t="shared" ref="O386:O449" si="20">IF(J386="M","Medium",IF(J386="L","Light",IF(J386="D","Dark","")))</f>
        <v>Light</v>
      </c>
      <c r="P386" t="str">
        <f>_xlfn.XLOOKUP(Orders[[#This Row],[Customer ID]],Customers!$A$2:$A$1001,Customers!$I$2:$I$1001,0)</f>
        <v>No</v>
      </c>
    </row>
    <row r="387" spans="1:16" x14ac:dyDescent="0.3">
      <c r="A387" s="2" t="s">
        <v>2660</v>
      </c>
      <c r="B387" s="3">
        <v>44559</v>
      </c>
      <c r="C387" s="2" t="s">
        <v>2661</v>
      </c>
      <c r="D387" t="s">
        <v>6160</v>
      </c>
      <c r="E387" s="2">
        <v>5</v>
      </c>
      <c r="F387" s="2" t="str">
        <f>_xlfn.XLOOKUP(C387,Customers!$A$2:$A$1001,Customers!$B$2:$B$1001,0)</f>
        <v>Virgil Baumadier</v>
      </c>
      <c r="G387" s="2" t="str">
        <f>IF(_xlfn.XLOOKUP(C387,Customers!$A$2:$A$1001,Customers!$C$2:$C$1001)=0,"",_xlfn.XLOOKUP(C387,Customers!$A$2:$A$1001,Customers!$C$2:$C$1001))</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si="18"/>
        <v>43.650000000000006</v>
      </c>
      <c r="N387" t="str">
        <f t="shared" si="19"/>
        <v>Liberica</v>
      </c>
      <c r="O387" t="str">
        <f t="shared" si="20"/>
        <v>Medium</v>
      </c>
      <c r="P387" t="str">
        <f>_xlfn.XLOOKUP(Orders[[#This Row],[Customer ID]],Customers!$A$2:$A$1001,Customers!$I$2:$I$1001,0)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IF(_xlfn.XLOOKUP(C388,Customers!$A$2:$A$1001,Customers!$C$2:$C$1001)=0,"",_xlfn.XLOOKUP(C388,Customers!$A$2:$A$1001,Customers!$C$2:$C$1001))</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_xlfn.XLOOKUP(Orders[[#This Row],[Customer ID]],Customers!$A$2:$A$1001,Customers!$I$2:$I$1001,0)</f>
        <v>Yes</v>
      </c>
    </row>
    <row r="389" spans="1:16" x14ac:dyDescent="0.3">
      <c r="A389" s="2" t="s">
        <v>2671</v>
      </c>
      <c r="B389" s="3">
        <v>44455</v>
      </c>
      <c r="C389" s="2" t="s">
        <v>2672</v>
      </c>
      <c r="D389" t="s">
        <v>6171</v>
      </c>
      <c r="E389" s="2">
        <v>5</v>
      </c>
      <c r="F389" s="2" t="str">
        <f>_xlfn.XLOOKUP(C389,Customers!$A$2:$A$1001,Customers!$B$2:$B$1001,0)</f>
        <v>Shirleen Welds</v>
      </c>
      <c r="G389" s="2" t="str">
        <f>IF(_xlfn.XLOOKUP(C389,Customers!$A$2:$A$1001,Customers!$C$2:$C$1001)=0,"",_xlfn.XLOOKUP(C389,Customers!$A$2:$A$1001,Customers!$C$2:$C$1001))</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_xlfn.XLOOKUP(Orders[[#This Row],[Customer ID]],Customers!$A$2:$A$1001,Customers!$I$2:$I$1001,0)</f>
        <v>Yes</v>
      </c>
    </row>
    <row r="390" spans="1:16" x14ac:dyDescent="0.3">
      <c r="A390" s="2" t="s">
        <v>2677</v>
      </c>
      <c r="B390" s="3">
        <v>44130</v>
      </c>
      <c r="C390" s="2" t="s">
        <v>2678</v>
      </c>
      <c r="D390" t="s">
        <v>6150</v>
      </c>
      <c r="E390" s="2">
        <v>3</v>
      </c>
      <c r="F390" s="2" t="str">
        <f>_xlfn.XLOOKUP(C390,Customers!$A$2:$A$1001,Customers!$B$2:$B$1001,0)</f>
        <v>Maisie Sarvar</v>
      </c>
      <c r="G390" s="2" t="str">
        <f>IF(_xlfn.XLOOKUP(C390,Customers!$A$2:$A$1001,Customers!$C$2:$C$1001)=0,"",_xlfn.XLOOKUP(C390,Customers!$A$2:$A$1001,Customers!$C$2:$C$1001))</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_xlfn.XLOOKUP(Orders[[#This Row],[Customer ID]],Customers!$A$2:$A$1001,Customers!$I$2:$I$1001,0)</f>
        <v>Yes</v>
      </c>
    </row>
    <row r="391" spans="1:16" x14ac:dyDescent="0.3">
      <c r="A391" s="2" t="s">
        <v>2683</v>
      </c>
      <c r="B391" s="3">
        <v>43536</v>
      </c>
      <c r="C391" s="2" t="s">
        <v>2684</v>
      </c>
      <c r="D391" t="s">
        <v>6169</v>
      </c>
      <c r="E391" s="2">
        <v>3</v>
      </c>
      <c r="F391" s="2" t="str">
        <f>_xlfn.XLOOKUP(C391,Customers!$A$2:$A$1001,Customers!$B$2:$B$1001,0)</f>
        <v>Andrej Havick</v>
      </c>
      <c r="G391" s="2" t="str">
        <f>IF(_xlfn.XLOOKUP(C391,Customers!$A$2:$A$1001,Customers!$C$2:$C$1001)=0,"",_xlfn.XLOOKUP(C391,Customers!$A$2:$A$1001,Customers!$C$2:$C$1001))</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_xlfn.XLOOKUP(Orders[[#This Row],[Customer ID]],Customers!$A$2:$A$1001,Customers!$I$2:$I$1001,0)</f>
        <v>Yes</v>
      </c>
    </row>
    <row r="392" spans="1:16" x14ac:dyDescent="0.3">
      <c r="A392" s="2" t="s">
        <v>2689</v>
      </c>
      <c r="B392" s="3">
        <v>44245</v>
      </c>
      <c r="C392" s="2" t="s">
        <v>2690</v>
      </c>
      <c r="D392" t="s">
        <v>6144</v>
      </c>
      <c r="E392" s="2">
        <v>2</v>
      </c>
      <c r="F392" s="2" t="str">
        <f>_xlfn.XLOOKUP(C392,Customers!$A$2:$A$1001,Customers!$B$2:$B$1001,0)</f>
        <v>Sloan Diviny</v>
      </c>
      <c r="G392" s="2" t="str">
        <f>IF(_xlfn.XLOOKUP(C392,Customers!$A$2:$A$1001,Customers!$C$2:$C$1001)=0,"",_xlfn.XLOOKUP(C392,Customers!$A$2:$A$1001,Customers!$C$2:$C$1001))</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_xlfn.XLOOKUP(Orders[[#This Row],[Customer ID]],Customers!$A$2:$A$1001,Customers!$I$2:$I$1001,0)</f>
        <v>Yes</v>
      </c>
    </row>
    <row r="393" spans="1:16" x14ac:dyDescent="0.3">
      <c r="A393" s="2" t="s">
        <v>2694</v>
      </c>
      <c r="B393" s="3">
        <v>44133</v>
      </c>
      <c r="C393" s="2" t="s">
        <v>2695</v>
      </c>
      <c r="D393" t="s">
        <v>6157</v>
      </c>
      <c r="E393" s="2">
        <v>2</v>
      </c>
      <c r="F393" s="2" t="str">
        <f>_xlfn.XLOOKUP(C393,Customers!$A$2:$A$1001,Customers!$B$2:$B$1001,0)</f>
        <v>Itch Norquoy</v>
      </c>
      <c r="G393" s="2" t="str">
        <f>IF(_xlfn.XLOOKUP(C393,Customers!$A$2:$A$1001,Customers!$C$2:$C$1001)=0,"",_xlfn.XLOOKUP(C393,Customers!$A$2:$A$1001,Customers!$C$2:$C$1001))</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_xlfn.XLOOKUP(Orders[[#This Row],[Customer ID]],Customers!$A$2:$A$1001,Customers!$I$2:$I$1001,0)</f>
        <v>No</v>
      </c>
    </row>
    <row r="394" spans="1:16" x14ac:dyDescent="0.3">
      <c r="A394" s="2" t="s">
        <v>2699</v>
      </c>
      <c r="B394" s="3">
        <v>44445</v>
      </c>
      <c r="C394" s="2" t="s">
        <v>2700</v>
      </c>
      <c r="D394" t="s">
        <v>6171</v>
      </c>
      <c r="E394" s="2">
        <v>6</v>
      </c>
      <c r="F394" s="2" t="str">
        <f>_xlfn.XLOOKUP(C394,Customers!$A$2:$A$1001,Customers!$B$2:$B$1001,0)</f>
        <v>Anson Iddison</v>
      </c>
      <c r="G394" s="2" t="str">
        <f>IF(_xlfn.XLOOKUP(C394,Customers!$A$2:$A$1001,Customers!$C$2:$C$1001)=0,"",_xlfn.XLOOKUP(C394,Customers!$A$2:$A$1001,Customers!$C$2:$C$1001))</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_xlfn.XLOOKUP(Orders[[#This Row],[Customer ID]],Customers!$A$2:$A$1001,Customers!$I$2:$I$1001,0)</f>
        <v>No</v>
      </c>
    </row>
    <row r="395" spans="1:16" x14ac:dyDescent="0.3">
      <c r="A395" s="2" t="s">
        <v>2699</v>
      </c>
      <c r="B395" s="3">
        <v>44445</v>
      </c>
      <c r="C395" s="2" t="s">
        <v>2700</v>
      </c>
      <c r="D395" t="s">
        <v>6167</v>
      </c>
      <c r="E395" s="2">
        <v>1</v>
      </c>
      <c r="F395" s="2" t="str">
        <f>_xlfn.XLOOKUP(C395,Customers!$A$2:$A$1001,Customers!$B$2:$B$1001,0)</f>
        <v>Anson Iddison</v>
      </c>
      <c r="G395" s="2" t="str">
        <f>IF(_xlfn.XLOOKUP(C395,Customers!$A$2:$A$1001,Customers!$C$2:$C$1001)=0,"",_xlfn.XLOOKUP(C395,Customers!$A$2:$A$1001,Customers!$C$2:$C$1001))</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_xlfn.XLOOKUP(Orders[[#This Row],[Customer ID]],Customers!$A$2:$A$1001,Customers!$I$2:$I$1001,0)</f>
        <v>No</v>
      </c>
    </row>
    <row r="396" spans="1:16" x14ac:dyDescent="0.3">
      <c r="A396" s="2" t="s">
        <v>2710</v>
      </c>
      <c r="B396" s="3">
        <v>44083</v>
      </c>
      <c r="C396" s="2" t="s">
        <v>2711</v>
      </c>
      <c r="D396" t="s">
        <v>6142</v>
      </c>
      <c r="E396" s="2">
        <v>4</v>
      </c>
      <c r="F396" s="2" t="str">
        <f>_xlfn.XLOOKUP(C396,Customers!$A$2:$A$1001,Customers!$B$2:$B$1001,0)</f>
        <v>Randal Longfield</v>
      </c>
      <c r="G396" s="2" t="str">
        <f>IF(_xlfn.XLOOKUP(C396,Customers!$A$2:$A$1001,Customers!$C$2:$C$1001)=0,"",_xlfn.XLOOKUP(C396,Customers!$A$2:$A$1001,Customers!$C$2:$C$1001))</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_xlfn.XLOOKUP(Orders[[#This Row],[Customer ID]],Customers!$A$2:$A$1001,Customers!$I$2:$I$1001,0)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IF(_xlfn.XLOOKUP(C397,Customers!$A$2:$A$1001,Customers!$C$2:$C$1001)=0,"",_xlfn.XLOOKUP(C397,Customers!$A$2:$A$1001,Customers!$C$2:$C$1001))</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_xlfn.XLOOKUP(Orders[[#This Row],[Customer ID]],Customers!$A$2:$A$1001,Customers!$I$2:$I$1001,0)</f>
        <v>Yes</v>
      </c>
    </row>
    <row r="398" spans="1:16" x14ac:dyDescent="0.3">
      <c r="A398" s="2" t="s">
        <v>2721</v>
      </c>
      <c r="B398" s="3">
        <v>44140</v>
      </c>
      <c r="C398" s="2" t="s">
        <v>2722</v>
      </c>
      <c r="D398" t="s">
        <v>6180</v>
      </c>
      <c r="E398" s="2">
        <v>5</v>
      </c>
      <c r="F398" s="2" t="str">
        <f>_xlfn.XLOOKUP(C398,Customers!$A$2:$A$1001,Customers!$B$2:$B$1001,0)</f>
        <v>Xenos Gibbons</v>
      </c>
      <c r="G398" s="2" t="str">
        <f>IF(_xlfn.XLOOKUP(C398,Customers!$A$2:$A$1001,Customers!$C$2:$C$1001)=0,"",_xlfn.XLOOKUP(C398,Customers!$A$2:$A$1001,Customers!$C$2:$C$1001))</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_xlfn.XLOOKUP(Orders[[#This Row],[Customer ID]],Customers!$A$2:$A$1001,Customers!$I$2:$I$1001,0)</f>
        <v>No</v>
      </c>
    </row>
    <row r="399" spans="1:16" x14ac:dyDescent="0.3">
      <c r="A399" s="2" t="s">
        <v>2727</v>
      </c>
      <c r="B399" s="3">
        <v>43720</v>
      </c>
      <c r="C399" s="2" t="s">
        <v>2728</v>
      </c>
      <c r="D399" t="s">
        <v>6169</v>
      </c>
      <c r="E399" s="2">
        <v>4</v>
      </c>
      <c r="F399" s="2" t="str">
        <f>_xlfn.XLOOKUP(C399,Customers!$A$2:$A$1001,Customers!$B$2:$B$1001,0)</f>
        <v>Fleur Parres</v>
      </c>
      <c r="G399" s="2" t="str">
        <f>IF(_xlfn.XLOOKUP(C399,Customers!$A$2:$A$1001,Customers!$C$2:$C$1001)=0,"",_xlfn.XLOOKUP(C399,Customers!$A$2:$A$1001,Customers!$C$2:$C$1001))</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_xlfn.XLOOKUP(Orders[[#This Row],[Customer ID]],Customers!$A$2:$A$1001,Customers!$I$2:$I$1001,0)</f>
        <v>Yes</v>
      </c>
    </row>
    <row r="400" spans="1:16" x14ac:dyDescent="0.3">
      <c r="A400" s="2" t="s">
        <v>2733</v>
      </c>
      <c r="B400" s="3">
        <v>43677</v>
      </c>
      <c r="C400" s="2" t="s">
        <v>2734</v>
      </c>
      <c r="D400" t="s">
        <v>6154</v>
      </c>
      <c r="E400" s="2">
        <v>6</v>
      </c>
      <c r="F400" s="2" t="str">
        <f>_xlfn.XLOOKUP(C400,Customers!$A$2:$A$1001,Customers!$B$2:$B$1001,0)</f>
        <v>Gran Sibray</v>
      </c>
      <c r="G400" s="2" t="str">
        <f>IF(_xlfn.XLOOKUP(C400,Customers!$A$2:$A$1001,Customers!$C$2:$C$1001)=0,"",_xlfn.XLOOKUP(C400,Customers!$A$2:$A$1001,Customers!$C$2:$C$1001))</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_xlfn.XLOOKUP(Orders[[#This Row],[Customer ID]],Customers!$A$2:$A$1001,Customers!$I$2:$I$1001,0)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IF(_xlfn.XLOOKUP(C401,Customers!$A$2:$A$1001,Customers!$C$2:$C$1001)=0,"",_xlfn.XLOOKUP(C401,Customers!$A$2:$A$1001,Customers!$C$2:$C$1001))</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_xlfn.XLOOKUP(Orders[[#This Row],[Customer ID]],Customers!$A$2:$A$1001,Customers!$I$2:$I$1001,0)</f>
        <v>No</v>
      </c>
    </row>
    <row r="402" spans="1:16" x14ac:dyDescent="0.3">
      <c r="A402" s="2" t="s">
        <v>2745</v>
      </c>
      <c r="B402" s="3">
        <v>44332</v>
      </c>
      <c r="C402" s="2" t="s">
        <v>2746</v>
      </c>
      <c r="D402" t="s">
        <v>6170</v>
      </c>
      <c r="E402" s="2">
        <v>4</v>
      </c>
      <c r="F402" s="2" t="str">
        <f>_xlfn.XLOOKUP(C402,Customers!$A$2:$A$1001,Customers!$B$2:$B$1001,0)</f>
        <v>Neely Broadberrie</v>
      </c>
      <c r="G402" s="2" t="str">
        <f>IF(_xlfn.XLOOKUP(C402,Customers!$A$2:$A$1001,Customers!$C$2:$C$1001)=0,"",_xlfn.XLOOKUP(C402,Customers!$A$2:$A$1001,Customers!$C$2:$C$1001))</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_xlfn.XLOOKUP(Orders[[#This Row],[Customer ID]],Customers!$A$2:$A$1001,Customers!$I$2:$I$1001,0)</f>
        <v>No</v>
      </c>
    </row>
    <row r="403" spans="1:16" x14ac:dyDescent="0.3">
      <c r="A403" s="2" t="s">
        <v>2751</v>
      </c>
      <c r="B403" s="3">
        <v>43591</v>
      </c>
      <c r="C403" s="2" t="s">
        <v>2752</v>
      </c>
      <c r="D403" t="s">
        <v>6159</v>
      </c>
      <c r="E403" s="2">
        <v>2</v>
      </c>
      <c r="F403" s="2" t="str">
        <f>_xlfn.XLOOKUP(C403,Customers!$A$2:$A$1001,Customers!$B$2:$B$1001,0)</f>
        <v>Rutger Pithcock</v>
      </c>
      <c r="G403" s="2" t="str">
        <f>IF(_xlfn.XLOOKUP(C403,Customers!$A$2:$A$1001,Customers!$C$2:$C$1001)=0,"",_xlfn.XLOOKUP(C403,Customers!$A$2:$A$1001,Customers!$C$2:$C$1001))</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_xlfn.XLOOKUP(Orders[[#This Row],[Customer ID]],Customers!$A$2:$A$1001,Customers!$I$2:$I$1001,0)</f>
        <v>Yes</v>
      </c>
    </row>
    <row r="404" spans="1:16" x14ac:dyDescent="0.3">
      <c r="A404" s="2" t="s">
        <v>2757</v>
      </c>
      <c r="B404" s="3">
        <v>43502</v>
      </c>
      <c r="C404" s="2" t="s">
        <v>2758</v>
      </c>
      <c r="D404" t="s">
        <v>6177</v>
      </c>
      <c r="E404" s="2">
        <v>3</v>
      </c>
      <c r="F404" s="2" t="str">
        <f>_xlfn.XLOOKUP(C404,Customers!$A$2:$A$1001,Customers!$B$2:$B$1001,0)</f>
        <v>Gale Croysdale</v>
      </c>
      <c r="G404" s="2" t="str">
        <f>IF(_xlfn.XLOOKUP(C404,Customers!$A$2:$A$1001,Customers!$C$2:$C$1001)=0,"",_xlfn.XLOOKUP(C404,Customers!$A$2:$A$1001,Customers!$C$2:$C$1001))</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_xlfn.XLOOKUP(Orders[[#This Row],[Customer ID]],Customers!$A$2:$A$1001,Customers!$I$2:$I$1001,0)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IF(_xlfn.XLOOKUP(C405,Customers!$A$2:$A$1001,Customers!$C$2:$C$1001)=0,"",_xlfn.XLOOKUP(C405,Customers!$A$2:$A$1001,Customers!$C$2:$C$1001))</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_xlfn.XLOOKUP(Orders[[#This Row],[Customer ID]],Customers!$A$2:$A$1001,Customers!$I$2:$I$1001,0)</f>
        <v>No</v>
      </c>
    </row>
    <row r="406" spans="1:16" x14ac:dyDescent="0.3">
      <c r="A406" s="2" t="s">
        <v>2769</v>
      </c>
      <c r="B406" s="3">
        <v>43971</v>
      </c>
      <c r="C406" s="2" t="s">
        <v>2770</v>
      </c>
      <c r="D406" t="s">
        <v>6147</v>
      </c>
      <c r="E406" s="2">
        <v>4</v>
      </c>
      <c r="F406" s="2" t="str">
        <f>_xlfn.XLOOKUP(C406,Customers!$A$2:$A$1001,Customers!$B$2:$B$1001,0)</f>
        <v>Tania Craggs</v>
      </c>
      <c r="G406" s="2" t="str">
        <f>IF(_xlfn.XLOOKUP(C406,Customers!$A$2:$A$1001,Customers!$C$2:$C$1001)=0,"",_xlfn.XLOOKUP(C406,Customers!$A$2:$A$1001,Customers!$C$2:$C$1001))</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_xlfn.XLOOKUP(Orders[[#This Row],[Customer ID]],Customers!$A$2:$A$1001,Customers!$I$2:$I$1001,0)</f>
        <v>No</v>
      </c>
    </row>
    <row r="407" spans="1:16" x14ac:dyDescent="0.3">
      <c r="A407" s="2" t="s">
        <v>2775</v>
      </c>
      <c r="B407" s="3">
        <v>44167</v>
      </c>
      <c r="C407" s="2" t="s">
        <v>2776</v>
      </c>
      <c r="D407" t="s">
        <v>6139</v>
      </c>
      <c r="E407" s="2">
        <v>3</v>
      </c>
      <c r="F407" s="2" t="str">
        <f>_xlfn.XLOOKUP(C407,Customers!$A$2:$A$1001,Customers!$B$2:$B$1001,0)</f>
        <v>Leonie Cullrford</v>
      </c>
      <c r="G407" s="2" t="str">
        <f>IF(_xlfn.XLOOKUP(C407,Customers!$A$2:$A$1001,Customers!$C$2:$C$1001)=0,"",_xlfn.XLOOKUP(C407,Customers!$A$2:$A$1001,Customers!$C$2:$C$1001))</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_xlfn.XLOOKUP(Orders[[#This Row],[Customer ID]],Customers!$A$2:$A$1001,Customers!$I$2:$I$1001,0)</f>
        <v>Yes</v>
      </c>
    </row>
    <row r="408" spans="1:16" x14ac:dyDescent="0.3">
      <c r="A408" s="2" t="s">
        <v>2781</v>
      </c>
      <c r="B408" s="3">
        <v>44416</v>
      </c>
      <c r="C408" s="2" t="s">
        <v>2782</v>
      </c>
      <c r="D408" t="s">
        <v>6141</v>
      </c>
      <c r="E408" s="2">
        <v>5</v>
      </c>
      <c r="F408" s="2" t="str">
        <f>_xlfn.XLOOKUP(C408,Customers!$A$2:$A$1001,Customers!$B$2:$B$1001,0)</f>
        <v>Auguste Rizon</v>
      </c>
      <c r="G408" s="2" t="str">
        <f>IF(_xlfn.XLOOKUP(C408,Customers!$A$2:$A$1001,Customers!$C$2:$C$1001)=0,"",_xlfn.XLOOKUP(C408,Customers!$A$2:$A$1001,Customers!$C$2:$C$1001))</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_xlfn.XLOOKUP(Orders[[#This Row],[Customer ID]],Customers!$A$2:$A$1001,Customers!$I$2:$I$1001,0)</f>
        <v>Yes</v>
      </c>
    </row>
    <row r="409" spans="1:16" x14ac:dyDescent="0.3">
      <c r="A409" s="2" t="s">
        <v>2787</v>
      </c>
      <c r="B409" s="3">
        <v>44595</v>
      </c>
      <c r="C409" s="2" t="s">
        <v>2788</v>
      </c>
      <c r="D409" t="s">
        <v>6139</v>
      </c>
      <c r="E409" s="2">
        <v>6</v>
      </c>
      <c r="F409" s="2" t="str">
        <f>_xlfn.XLOOKUP(C409,Customers!$A$2:$A$1001,Customers!$B$2:$B$1001,0)</f>
        <v>Lorin Guerrazzi</v>
      </c>
      <c r="G409" s="2" t="str">
        <f>IF(_xlfn.XLOOKUP(C409,Customers!$A$2:$A$1001,Customers!$C$2:$C$1001)=0,"",_xlfn.XLOOKUP(C409,Customers!$A$2:$A$1001,Customers!$C$2:$C$1001))</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_xlfn.XLOOKUP(Orders[[#This Row],[Customer ID]],Customers!$A$2:$A$1001,Customers!$I$2:$I$1001,0)</f>
        <v>No</v>
      </c>
    </row>
    <row r="410" spans="1:16" x14ac:dyDescent="0.3">
      <c r="A410" s="2" t="s">
        <v>2792</v>
      </c>
      <c r="B410" s="3">
        <v>44659</v>
      </c>
      <c r="C410" s="2" t="s">
        <v>2793</v>
      </c>
      <c r="D410" t="s">
        <v>6175</v>
      </c>
      <c r="E410" s="2">
        <v>2</v>
      </c>
      <c r="F410" s="2" t="str">
        <f>_xlfn.XLOOKUP(C410,Customers!$A$2:$A$1001,Customers!$B$2:$B$1001,0)</f>
        <v>Felice Miell</v>
      </c>
      <c r="G410" s="2" t="str">
        <f>IF(_xlfn.XLOOKUP(C410,Customers!$A$2:$A$1001,Customers!$C$2:$C$1001)=0,"",_xlfn.XLOOKUP(C410,Customers!$A$2:$A$1001,Customers!$C$2:$C$1001))</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_xlfn.XLOOKUP(Orders[[#This Row],[Customer ID]],Customers!$A$2:$A$1001,Customers!$I$2:$I$1001,0)</f>
        <v>Yes</v>
      </c>
    </row>
    <row r="411" spans="1:16" x14ac:dyDescent="0.3">
      <c r="A411" s="2" t="s">
        <v>2798</v>
      </c>
      <c r="B411" s="3">
        <v>44203</v>
      </c>
      <c r="C411" s="2" t="s">
        <v>2799</v>
      </c>
      <c r="D411" t="s">
        <v>6170</v>
      </c>
      <c r="E411" s="2">
        <v>3</v>
      </c>
      <c r="F411" s="2" t="str">
        <f>_xlfn.XLOOKUP(C411,Customers!$A$2:$A$1001,Customers!$B$2:$B$1001,0)</f>
        <v>Hamish Skeech</v>
      </c>
      <c r="G411" s="2" t="str">
        <f>IF(_xlfn.XLOOKUP(C411,Customers!$A$2:$A$1001,Customers!$C$2:$C$1001)=0,"",_xlfn.XLOOKUP(C411,Customers!$A$2:$A$1001,Customers!$C$2:$C$1001))</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_xlfn.XLOOKUP(Orders[[#This Row],[Customer ID]],Customers!$A$2:$A$1001,Customers!$I$2:$I$1001,0)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IF(_xlfn.XLOOKUP(C412,Customers!$A$2:$A$1001,Customers!$C$2:$C$1001)=0,"",_xlfn.XLOOKUP(C412,Customers!$A$2:$A$1001,Customers!$C$2:$C$1001))</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_xlfn.XLOOKUP(Orders[[#This Row],[Customer ID]],Customers!$A$2:$A$1001,Customers!$I$2:$I$1001,0)</f>
        <v>No</v>
      </c>
    </row>
    <row r="413" spans="1:16" x14ac:dyDescent="0.3">
      <c r="A413" s="2" t="s">
        <v>2808</v>
      </c>
      <c r="B413" s="3">
        <v>44504</v>
      </c>
      <c r="C413" s="2" t="s">
        <v>2809</v>
      </c>
      <c r="D413" t="s">
        <v>6162</v>
      </c>
      <c r="E413" s="2">
        <v>6</v>
      </c>
      <c r="F413" s="2" t="str">
        <f>_xlfn.XLOOKUP(C413,Customers!$A$2:$A$1001,Customers!$B$2:$B$1001,0)</f>
        <v>Harwilll Bishell</v>
      </c>
      <c r="G413" s="2" t="str">
        <f>IF(_xlfn.XLOOKUP(C413,Customers!$A$2:$A$1001,Customers!$C$2:$C$1001)=0,"",_xlfn.XLOOKUP(C413,Customers!$A$2:$A$1001,Customers!$C$2:$C$1001))</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_xlfn.XLOOKUP(Orders[[#This Row],[Customer ID]],Customers!$A$2:$A$1001,Customers!$I$2:$I$1001,0)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IF(_xlfn.XLOOKUP(C414,Customers!$A$2:$A$1001,Customers!$C$2:$C$1001)=0,"",_xlfn.XLOOKUP(C414,Customers!$A$2:$A$1001,Customers!$C$2:$C$1001))</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_xlfn.XLOOKUP(Orders[[#This Row],[Customer ID]],Customers!$A$2:$A$1001,Customers!$I$2:$I$1001,0)</f>
        <v>Yes</v>
      </c>
    </row>
    <row r="415" spans="1:16" x14ac:dyDescent="0.3">
      <c r="A415" s="2" t="s">
        <v>2818</v>
      </c>
      <c r="B415" s="3">
        <v>43857</v>
      </c>
      <c r="C415" s="2" t="s">
        <v>2819</v>
      </c>
      <c r="D415" t="s">
        <v>6164</v>
      </c>
      <c r="E415" s="2">
        <v>1</v>
      </c>
      <c r="F415" s="2" t="str">
        <f>_xlfn.XLOOKUP(C415,Customers!$A$2:$A$1001,Customers!$B$2:$B$1001,0)</f>
        <v>Waylan Springall</v>
      </c>
      <c r="G415" s="2" t="str">
        <f>IF(_xlfn.XLOOKUP(C415,Customers!$A$2:$A$1001,Customers!$C$2:$C$1001)=0,"",_xlfn.XLOOKUP(C415,Customers!$A$2:$A$1001,Customers!$C$2:$C$1001))</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_xlfn.XLOOKUP(Orders[[#This Row],[Customer ID]],Customers!$A$2:$A$1001,Customers!$I$2:$I$1001,0)</f>
        <v>Yes</v>
      </c>
    </row>
    <row r="416" spans="1:16" x14ac:dyDescent="0.3">
      <c r="A416" s="2" t="s">
        <v>2824</v>
      </c>
      <c r="B416" s="3">
        <v>43802</v>
      </c>
      <c r="C416" s="2" t="s">
        <v>2825</v>
      </c>
      <c r="D416" t="s">
        <v>6178</v>
      </c>
      <c r="E416" s="2">
        <v>3</v>
      </c>
      <c r="F416" s="2" t="str">
        <f>_xlfn.XLOOKUP(C416,Customers!$A$2:$A$1001,Customers!$B$2:$B$1001,0)</f>
        <v>Kiri Avramow</v>
      </c>
      <c r="G416" s="2" t="str">
        <f>IF(_xlfn.XLOOKUP(C416,Customers!$A$2:$A$1001,Customers!$C$2:$C$1001)=0,"",_xlfn.XLOOKUP(C416,Customers!$A$2:$A$1001,Customers!$C$2:$C$1001))</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_xlfn.XLOOKUP(Orders[[#This Row],[Customer ID]],Customers!$A$2:$A$1001,Customers!$I$2:$I$1001,0)</f>
        <v>Yes</v>
      </c>
    </row>
    <row r="417" spans="1:16" x14ac:dyDescent="0.3">
      <c r="A417" s="2" t="s">
        <v>2829</v>
      </c>
      <c r="B417" s="3">
        <v>43683</v>
      </c>
      <c r="C417" s="2" t="s">
        <v>2830</v>
      </c>
      <c r="D417" t="s">
        <v>6174</v>
      </c>
      <c r="E417" s="2">
        <v>3</v>
      </c>
      <c r="F417" s="2" t="str">
        <f>_xlfn.XLOOKUP(C417,Customers!$A$2:$A$1001,Customers!$B$2:$B$1001,0)</f>
        <v>Gregg Hawkyens</v>
      </c>
      <c r="G417" s="2" t="str">
        <f>IF(_xlfn.XLOOKUP(C417,Customers!$A$2:$A$1001,Customers!$C$2:$C$1001)=0,"",_xlfn.XLOOKUP(C417,Customers!$A$2:$A$1001,Customers!$C$2:$C$1001))</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_xlfn.XLOOKUP(Orders[[#This Row],[Customer ID]],Customers!$A$2:$A$1001,Customers!$I$2:$I$1001,0)</f>
        <v>No</v>
      </c>
    </row>
    <row r="418" spans="1:16" x14ac:dyDescent="0.3">
      <c r="A418" s="2" t="s">
        <v>2834</v>
      </c>
      <c r="B418" s="3">
        <v>43901</v>
      </c>
      <c r="C418" s="2" t="s">
        <v>2835</v>
      </c>
      <c r="D418" t="s">
        <v>6180</v>
      </c>
      <c r="E418" s="2">
        <v>3</v>
      </c>
      <c r="F418" s="2" t="str">
        <f>_xlfn.XLOOKUP(C418,Customers!$A$2:$A$1001,Customers!$B$2:$B$1001,0)</f>
        <v>Reggis Pracy</v>
      </c>
      <c r="G418" s="2" t="str">
        <f>IF(_xlfn.XLOOKUP(C418,Customers!$A$2:$A$1001,Customers!$C$2:$C$1001)=0,"",_xlfn.XLOOKUP(C418,Customers!$A$2:$A$1001,Customers!$C$2:$C$1001))</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_xlfn.XLOOKUP(Orders[[#This Row],[Customer ID]],Customers!$A$2:$A$1001,Customers!$I$2:$I$1001,0)</f>
        <v>Yes</v>
      </c>
    </row>
    <row r="419" spans="1:16" x14ac:dyDescent="0.3">
      <c r="A419" s="2" t="s">
        <v>2839</v>
      </c>
      <c r="B419" s="3">
        <v>44457</v>
      </c>
      <c r="C419" s="2" t="s">
        <v>2840</v>
      </c>
      <c r="D419" t="s">
        <v>6182</v>
      </c>
      <c r="E419" s="2">
        <v>1</v>
      </c>
      <c r="F419" s="2" t="str">
        <f>_xlfn.XLOOKUP(C419,Customers!$A$2:$A$1001,Customers!$B$2:$B$1001,0)</f>
        <v>Paula Denis</v>
      </c>
      <c r="G419" s="2" t="str">
        <f>IF(_xlfn.XLOOKUP(C419,Customers!$A$2:$A$1001,Customers!$C$2:$C$1001)=0,"",_xlfn.XLOOKUP(C419,Customers!$A$2:$A$1001,Customers!$C$2:$C$1001))</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_xlfn.XLOOKUP(Orders[[#This Row],[Customer ID]],Customers!$A$2:$A$1001,Customers!$I$2:$I$1001,0)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IF(_xlfn.XLOOKUP(C420,Customers!$A$2:$A$1001,Customers!$C$2:$C$1001)=0,"",_xlfn.XLOOKUP(C420,Customers!$A$2:$A$1001,Customers!$C$2:$C$1001))</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_xlfn.XLOOKUP(Orders[[#This Row],[Customer ID]],Customers!$A$2:$A$1001,Customers!$I$2:$I$1001,0)</f>
        <v>Yes</v>
      </c>
    </row>
    <row r="421" spans="1:16" x14ac:dyDescent="0.3">
      <c r="A421" s="2" t="s">
        <v>2849</v>
      </c>
      <c r="B421" s="3">
        <v>44739</v>
      </c>
      <c r="C421" s="2" t="s">
        <v>2850</v>
      </c>
      <c r="D421" t="s">
        <v>6160</v>
      </c>
      <c r="E421" s="2">
        <v>1</v>
      </c>
      <c r="F421" s="2" t="str">
        <f>_xlfn.XLOOKUP(C421,Customers!$A$2:$A$1001,Customers!$B$2:$B$1001,0)</f>
        <v>Annabella Danzey</v>
      </c>
      <c r="G421" s="2" t="str">
        <f>IF(_xlfn.XLOOKUP(C421,Customers!$A$2:$A$1001,Customers!$C$2:$C$1001)=0,"",_xlfn.XLOOKUP(C421,Customers!$A$2:$A$1001,Customers!$C$2:$C$1001))</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_xlfn.XLOOKUP(Orders[[#This Row],[Customer ID]],Customers!$A$2:$A$1001,Customers!$I$2:$I$1001,0)</f>
        <v>Yes</v>
      </c>
    </row>
    <row r="422" spans="1:16" x14ac:dyDescent="0.3">
      <c r="A422" s="2" t="s">
        <v>2855</v>
      </c>
      <c r="B422" s="3">
        <v>43866</v>
      </c>
      <c r="C422" s="2" t="s">
        <v>2586</v>
      </c>
      <c r="D422" t="s">
        <v>6169</v>
      </c>
      <c r="E422" s="2">
        <v>4</v>
      </c>
      <c r="F422" s="2" t="str">
        <f>_xlfn.XLOOKUP(C422,Customers!$A$2:$A$1001,Customers!$B$2:$B$1001,0)</f>
        <v>Terri Farra</v>
      </c>
      <c r="G422" s="2" t="str">
        <f>IF(_xlfn.XLOOKUP(C422,Customers!$A$2:$A$1001,Customers!$C$2:$C$1001)=0,"",_xlfn.XLOOKUP(C422,Customers!$A$2:$A$1001,Customers!$C$2:$C$1001))</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_xlfn.XLOOKUP(Orders[[#This Row],[Customer ID]],Customers!$A$2:$A$1001,Customers!$I$2:$I$1001,0)</f>
        <v>No</v>
      </c>
    </row>
    <row r="423" spans="1:16" x14ac:dyDescent="0.3">
      <c r="A423" s="2" t="s">
        <v>2855</v>
      </c>
      <c r="B423" s="3">
        <v>43866</v>
      </c>
      <c r="C423" s="2" t="s">
        <v>2586</v>
      </c>
      <c r="D423" t="s">
        <v>6168</v>
      </c>
      <c r="E423" s="2">
        <v>6</v>
      </c>
      <c r="F423" s="2" t="str">
        <f>_xlfn.XLOOKUP(C423,Customers!$A$2:$A$1001,Customers!$B$2:$B$1001,0)</f>
        <v>Terri Farra</v>
      </c>
      <c r="G423" s="2" t="str">
        <f>IF(_xlfn.XLOOKUP(C423,Customers!$A$2:$A$1001,Customers!$C$2:$C$1001)=0,"",_xlfn.XLOOKUP(C423,Customers!$A$2:$A$1001,Customers!$C$2:$C$1001))</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_xlfn.XLOOKUP(Orders[[#This Row],[Customer ID]],Customers!$A$2:$A$1001,Customers!$I$2:$I$1001,0)</f>
        <v>No</v>
      </c>
    </row>
    <row r="424" spans="1:16" x14ac:dyDescent="0.3">
      <c r="A424" s="2" t="s">
        <v>2866</v>
      </c>
      <c r="B424" s="3">
        <v>43868</v>
      </c>
      <c r="C424" s="2" t="s">
        <v>2867</v>
      </c>
      <c r="D424" t="s">
        <v>6158</v>
      </c>
      <c r="E424" s="2">
        <v>5</v>
      </c>
      <c r="F424" s="2" t="str">
        <f>_xlfn.XLOOKUP(C424,Customers!$A$2:$A$1001,Customers!$B$2:$B$1001,0)</f>
        <v>Nevins Glowacz</v>
      </c>
      <c r="G424" s="2" t="str">
        <f>IF(_xlfn.XLOOKUP(C424,Customers!$A$2:$A$1001,Customers!$C$2:$C$1001)=0,"",_xlfn.XLOOKUP(C424,Customers!$A$2:$A$1001,Customers!$C$2:$C$1001))</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_xlfn.XLOOKUP(Orders[[#This Row],[Customer ID]],Customers!$A$2:$A$1001,Customers!$I$2:$I$1001,0)</f>
        <v>No</v>
      </c>
    </row>
    <row r="425" spans="1:16" x14ac:dyDescent="0.3">
      <c r="A425" s="2" t="s">
        <v>2871</v>
      </c>
      <c r="B425" s="3">
        <v>44183</v>
      </c>
      <c r="C425" s="2" t="s">
        <v>2872</v>
      </c>
      <c r="D425" t="s">
        <v>6146</v>
      </c>
      <c r="E425" s="2">
        <v>3</v>
      </c>
      <c r="F425" s="2" t="str">
        <f>_xlfn.XLOOKUP(C425,Customers!$A$2:$A$1001,Customers!$B$2:$B$1001,0)</f>
        <v>Adelice Isabell</v>
      </c>
      <c r="G425" s="2" t="str">
        <f>IF(_xlfn.XLOOKUP(C425,Customers!$A$2:$A$1001,Customers!$C$2:$C$1001)=0,"",_xlfn.XLOOKUP(C425,Customers!$A$2:$A$1001,Customers!$C$2:$C$1001))</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_xlfn.XLOOKUP(Orders[[#This Row],[Customer ID]],Customers!$A$2:$A$1001,Customers!$I$2:$I$1001,0)</f>
        <v>No</v>
      </c>
    </row>
    <row r="426" spans="1:16" x14ac:dyDescent="0.3">
      <c r="A426" s="2" t="s">
        <v>2876</v>
      </c>
      <c r="B426" s="3">
        <v>44431</v>
      </c>
      <c r="C426" s="2" t="s">
        <v>2877</v>
      </c>
      <c r="D426" t="s">
        <v>6176</v>
      </c>
      <c r="E426" s="2">
        <v>3</v>
      </c>
      <c r="F426" s="2" t="str">
        <f>_xlfn.XLOOKUP(C426,Customers!$A$2:$A$1001,Customers!$B$2:$B$1001,0)</f>
        <v>Yulma Dombrell</v>
      </c>
      <c r="G426" s="2" t="str">
        <f>IF(_xlfn.XLOOKUP(C426,Customers!$A$2:$A$1001,Customers!$C$2:$C$1001)=0,"",_xlfn.XLOOKUP(C426,Customers!$A$2:$A$1001,Customers!$C$2:$C$1001))</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_xlfn.XLOOKUP(Orders[[#This Row],[Customer ID]],Customers!$A$2:$A$1001,Customers!$I$2:$I$1001,0)</f>
        <v>Yes</v>
      </c>
    </row>
    <row r="427" spans="1:16" x14ac:dyDescent="0.3">
      <c r="A427" s="2" t="s">
        <v>2882</v>
      </c>
      <c r="B427" s="3">
        <v>44428</v>
      </c>
      <c r="C427" s="2" t="s">
        <v>2883</v>
      </c>
      <c r="D427" t="s">
        <v>6177</v>
      </c>
      <c r="E427" s="2">
        <v>2</v>
      </c>
      <c r="F427" s="2" t="str">
        <f>_xlfn.XLOOKUP(C427,Customers!$A$2:$A$1001,Customers!$B$2:$B$1001,0)</f>
        <v>Alric Darth</v>
      </c>
      <c r="G427" s="2" t="str">
        <f>IF(_xlfn.XLOOKUP(C427,Customers!$A$2:$A$1001,Customers!$C$2:$C$1001)=0,"",_xlfn.XLOOKUP(C427,Customers!$A$2:$A$1001,Customers!$C$2:$C$1001))</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_xlfn.XLOOKUP(Orders[[#This Row],[Customer ID]],Customers!$A$2:$A$1001,Customers!$I$2:$I$1001,0)</f>
        <v>No</v>
      </c>
    </row>
    <row r="428" spans="1:16" x14ac:dyDescent="0.3">
      <c r="A428" s="2" t="s">
        <v>2888</v>
      </c>
      <c r="B428" s="3">
        <v>43556</v>
      </c>
      <c r="C428" s="2" t="s">
        <v>2889</v>
      </c>
      <c r="D428" t="s">
        <v>6178</v>
      </c>
      <c r="E428" s="2">
        <v>4</v>
      </c>
      <c r="F428" s="2" t="str">
        <f>_xlfn.XLOOKUP(C428,Customers!$A$2:$A$1001,Customers!$B$2:$B$1001,0)</f>
        <v>Manuel Darrigoe</v>
      </c>
      <c r="G428" s="2" t="str">
        <f>IF(_xlfn.XLOOKUP(C428,Customers!$A$2:$A$1001,Customers!$C$2:$C$1001)=0,"",_xlfn.XLOOKUP(C428,Customers!$A$2:$A$1001,Customers!$C$2:$C$1001))</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_xlfn.XLOOKUP(Orders[[#This Row],[Customer ID]],Customers!$A$2:$A$1001,Customers!$I$2:$I$1001,0)</f>
        <v>Yes</v>
      </c>
    </row>
    <row r="429" spans="1:16" x14ac:dyDescent="0.3">
      <c r="A429" s="2" t="s">
        <v>2894</v>
      </c>
      <c r="B429" s="3">
        <v>44224</v>
      </c>
      <c r="C429" s="2" t="s">
        <v>2895</v>
      </c>
      <c r="D429" t="s">
        <v>6175</v>
      </c>
      <c r="E429" s="2">
        <v>3</v>
      </c>
      <c r="F429" s="2" t="str">
        <f>_xlfn.XLOOKUP(C429,Customers!$A$2:$A$1001,Customers!$B$2:$B$1001,0)</f>
        <v>Kynthia Berick</v>
      </c>
      <c r="G429" s="2" t="str">
        <f>IF(_xlfn.XLOOKUP(C429,Customers!$A$2:$A$1001,Customers!$C$2:$C$1001)=0,"",_xlfn.XLOOKUP(C429,Customers!$A$2:$A$1001,Customers!$C$2:$C$1001))</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_xlfn.XLOOKUP(Orders[[#This Row],[Customer ID]],Customers!$A$2:$A$1001,Customers!$I$2:$I$1001,0)</f>
        <v>Yes</v>
      </c>
    </row>
    <row r="430" spans="1:16" x14ac:dyDescent="0.3">
      <c r="A430" s="2" t="s">
        <v>2899</v>
      </c>
      <c r="B430" s="3">
        <v>43759</v>
      </c>
      <c r="C430" s="2" t="s">
        <v>2900</v>
      </c>
      <c r="D430" t="s">
        <v>6179</v>
      </c>
      <c r="E430" s="2">
        <v>5</v>
      </c>
      <c r="F430" s="2" t="str">
        <f>_xlfn.XLOOKUP(C430,Customers!$A$2:$A$1001,Customers!$B$2:$B$1001,0)</f>
        <v>Minetta Ackrill</v>
      </c>
      <c r="G430" s="2" t="str">
        <f>IF(_xlfn.XLOOKUP(C430,Customers!$A$2:$A$1001,Customers!$C$2:$C$1001)=0,"",_xlfn.XLOOKUP(C430,Customers!$A$2:$A$1001,Customers!$C$2:$C$1001))</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_xlfn.XLOOKUP(Orders[[#This Row],[Customer ID]],Customers!$A$2:$A$1001,Customers!$I$2:$I$1001,0)</f>
        <v>No</v>
      </c>
    </row>
    <row r="431" spans="1:16" x14ac:dyDescent="0.3">
      <c r="A431" s="2" t="s">
        <v>2905</v>
      </c>
      <c r="B431" s="3">
        <v>44367</v>
      </c>
      <c r="C431" s="2" t="s">
        <v>2586</v>
      </c>
      <c r="D431" t="s">
        <v>6140</v>
      </c>
      <c r="E431" s="2">
        <v>6</v>
      </c>
      <c r="F431" s="2" t="str">
        <f>_xlfn.XLOOKUP(C431,Customers!$A$2:$A$1001,Customers!$B$2:$B$1001,0)</f>
        <v>Terri Farra</v>
      </c>
      <c r="G431" s="2" t="str">
        <f>IF(_xlfn.XLOOKUP(C431,Customers!$A$2:$A$1001,Customers!$C$2:$C$1001)=0,"",_xlfn.XLOOKUP(C431,Customers!$A$2:$A$1001,Customers!$C$2:$C$1001))</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_xlfn.XLOOKUP(Orders[[#This Row],[Customer ID]],Customers!$A$2:$A$1001,Customers!$I$2:$I$1001,0)</f>
        <v>No</v>
      </c>
    </row>
    <row r="432" spans="1:16" x14ac:dyDescent="0.3">
      <c r="A432" s="2" t="s">
        <v>2911</v>
      </c>
      <c r="B432" s="3">
        <v>44504</v>
      </c>
      <c r="C432" s="2" t="s">
        <v>2912</v>
      </c>
      <c r="D432" t="s">
        <v>6163</v>
      </c>
      <c r="E432" s="2">
        <v>2</v>
      </c>
      <c r="F432" s="2" t="str">
        <f>_xlfn.XLOOKUP(C432,Customers!$A$2:$A$1001,Customers!$B$2:$B$1001,0)</f>
        <v>Melosa Kippen</v>
      </c>
      <c r="G432" s="2" t="str">
        <f>IF(_xlfn.XLOOKUP(C432,Customers!$A$2:$A$1001,Customers!$C$2:$C$1001)=0,"",_xlfn.XLOOKUP(C432,Customers!$A$2:$A$1001,Customers!$C$2:$C$1001))</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_xlfn.XLOOKUP(Orders[[#This Row],[Customer ID]],Customers!$A$2:$A$1001,Customers!$I$2:$I$1001,0)</f>
        <v>Yes</v>
      </c>
    </row>
    <row r="433" spans="1:16" x14ac:dyDescent="0.3">
      <c r="A433" s="2" t="s">
        <v>2917</v>
      </c>
      <c r="B433" s="3">
        <v>44291</v>
      </c>
      <c r="C433" s="2" t="s">
        <v>2918</v>
      </c>
      <c r="D433" t="s">
        <v>6185</v>
      </c>
      <c r="E433" s="2">
        <v>3</v>
      </c>
      <c r="F433" s="2" t="str">
        <f>_xlfn.XLOOKUP(C433,Customers!$A$2:$A$1001,Customers!$B$2:$B$1001,0)</f>
        <v>Witty Ranson</v>
      </c>
      <c r="G433" s="2" t="str">
        <f>IF(_xlfn.XLOOKUP(C433,Customers!$A$2:$A$1001,Customers!$C$2:$C$1001)=0,"",_xlfn.XLOOKUP(C433,Customers!$A$2:$A$1001,Customers!$C$2:$C$1001))</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_xlfn.XLOOKUP(Orders[[#This Row],[Customer ID]],Customers!$A$2:$A$1001,Customers!$I$2:$I$1001,0)</f>
        <v>Yes</v>
      </c>
    </row>
    <row r="434" spans="1:16" x14ac:dyDescent="0.3">
      <c r="A434" s="2" t="s">
        <v>2923</v>
      </c>
      <c r="B434" s="3">
        <v>43808</v>
      </c>
      <c r="C434" s="2" t="s">
        <v>2924</v>
      </c>
      <c r="D434" t="s">
        <v>6155</v>
      </c>
      <c r="E434" s="2">
        <v>2</v>
      </c>
      <c r="F434" s="2" t="str">
        <f>_xlfn.XLOOKUP(C434,Customers!$A$2:$A$1001,Customers!$B$2:$B$1001,0)</f>
        <v>Rod Gowdie</v>
      </c>
      <c r="G434" s="2" t="str">
        <f>IF(_xlfn.XLOOKUP(C434,Customers!$A$2:$A$1001,Customers!$C$2:$C$1001)=0,"",_xlfn.XLOOKUP(C434,Customers!$A$2:$A$1001,Customers!$C$2:$C$1001))</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_xlfn.XLOOKUP(Orders[[#This Row],[Customer ID]],Customers!$A$2:$A$1001,Customers!$I$2:$I$1001,0)</f>
        <v>No</v>
      </c>
    </row>
    <row r="435" spans="1:16" x14ac:dyDescent="0.3">
      <c r="A435" s="2" t="s">
        <v>2928</v>
      </c>
      <c r="B435" s="3">
        <v>44563</v>
      </c>
      <c r="C435" s="2" t="s">
        <v>2929</v>
      </c>
      <c r="D435" t="s">
        <v>6181</v>
      </c>
      <c r="E435" s="2">
        <v>6</v>
      </c>
      <c r="F435" s="2" t="str">
        <f>_xlfn.XLOOKUP(C435,Customers!$A$2:$A$1001,Customers!$B$2:$B$1001,0)</f>
        <v>Lemuel Rignold</v>
      </c>
      <c r="G435" s="2" t="str">
        <f>IF(_xlfn.XLOOKUP(C435,Customers!$A$2:$A$1001,Customers!$C$2:$C$1001)=0,"",_xlfn.XLOOKUP(C435,Customers!$A$2:$A$1001,Customers!$C$2:$C$1001))</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_xlfn.XLOOKUP(Orders[[#This Row],[Customer ID]],Customers!$A$2:$A$1001,Customers!$I$2:$I$1001,0)</f>
        <v>Yes</v>
      </c>
    </row>
    <row r="436" spans="1:16" x14ac:dyDescent="0.3">
      <c r="A436" s="2" t="s">
        <v>2934</v>
      </c>
      <c r="B436" s="3">
        <v>43807</v>
      </c>
      <c r="C436" s="2" t="s">
        <v>2935</v>
      </c>
      <c r="D436" t="s">
        <v>6155</v>
      </c>
      <c r="E436" s="2">
        <v>6</v>
      </c>
      <c r="F436" s="2" t="str">
        <f>_xlfn.XLOOKUP(C436,Customers!$A$2:$A$1001,Customers!$B$2:$B$1001,0)</f>
        <v>Nevsa Fields</v>
      </c>
      <c r="G436" s="2" t="str">
        <f>IF(_xlfn.XLOOKUP(C436,Customers!$A$2:$A$1001,Customers!$C$2:$C$1001)=0,"",_xlfn.XLOOKUP(C436,Customers!$A$2:$A$1001,Customers!$C$2:$C$1001))</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_xlfn.XLOOKUP(Orders[[#This Row],[Customer ID]],Customers!$A$2:$A$1001,Customers!$I$2:$I$1001,0)</f>
        <v>No</v>
      </c>
    </row>
    <row r="437" spans="1:16" x14ac:dyDescent="0.3">
      <c r="A437" s="2" t="s">
        <v>2939</v>
      </c>
      <c r="B437" s="3">
        <v>44528</v>
      </c>
      <c r="C437" s="2" t="s">
        <v>2940</v>
      </c>
      <c r="D437" t="s">
        <v>6139</v>
      </c>
      <c r="E437" s="2">
        <v>1</v>
      </c>
      <c r="F437" s="2" t="str">
        <f>_xlfn.XLOOKUP(C437,Customers!$A$2:$A$1001,Customers!$B$2:$B$1001,0)</f>
        <v>Chance Rowthorn</v>
      </c>
      <c r="G437" s="2" t="str">
        <f>IF(_xlfn.XLOOKUP(C437,Customers!$A$2:$A$1001,Customers!$C$2:$C$1001)=0,"",_xlfn.XLOOKUP(C437,Customers!$A$2:$A$1001,Customers!$C$2:$C$1001))</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_xlfn.XLOOKUP(Orders[[#This Row],[Customer ID]],Customers!$A$2:$A$1001,Customers!$I$2:$I$1001,0)</f>
        <v>No</v>
      </c>
    </row>
    <row r="438" spans="1:16" x14ac:dyDescent="0.3">
      <c r="A438" s="2" t="s">
        <v>2945</v>
      </c>
      <c r="B438" s="3">
        <v>44631</v>
      </c>
      <c r="C438" s="2" t="s">
        <v>2946</v>
      </c>
      <c r="D438" t="s">
        <v>6145</v>
      </c>
      <c r="E438" s="2">
        <v>2</v>
      </c>
      <c r="F438" s="2" t="str">
        <f>_xlfn.XLOOKUP(C438,Customers!$A$2:$A$1001,Customers!$B$2:$B$1001,0)</f>
        <v>Orly Ryland</v>
      </c>
      <c r="G438" s="2" t="str">
        <f>IF(_xlfn.XLOOKUP(C438,Customers!$A$2:$A$1001,Customers!$C$2:$C$1001)=0,"",_xlfn.XLOOKUP(C438,Customers!$A$2:$A$1001,Customers!$C$2:$C$1001))</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_xlfn.XLOOKUP(Orders[[#This Row],[Customer ID]],Customers!$A$2:$A$1001,Customers!$I$2:$I$1001,0)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IF(_xlfn.XLOOKUP(C439,Customers!$A$2:$A$1001,Customers!$C$2:$C$1001)=0,"",_xlfn.XLOOKUP(C439,Customers!$A$2:$A$1001,Customers!$C$2:$C$1001))</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_xlfn.XLOOKUP(Orders[[#This Row],[Customer ID]],Customers!$A$2:$A$1001,Customers!$I$2:$I$1001,0)</f>
        <v>No</v>
      </c>
    </row>
    <row r="440" spans="1:16" x14ac:dyDescent="0.3">
      <c r="A440" s="2" t="s">
        <v>2956</v>
      </c>
      <c r="B440" s="3">
        <v>43483</v>
      </c>
      <c r="C440" s="2" t="s">
        <v>3042</v>
      </c>
      <c r="D440" t="s">
        <v>6169</v>
      </c>
      <c r="E440" s="2">
        <v>2</v>
      </c>
      <c r="F440" s="2" t="str">
        <f>_xlfn.XLOOKUP(C440,Customers!$A$2:$A$1001,Customers!$B$2:$B$1001,0)</f>
        <v>Morgen Seson</v>
      </c>
      <c r="G440" s="2" t="str">
        <f>IF(_xlfn.XLOOKUP(C440,Customers!$A$2:$A$1001,Customers!$C$2:$C$1001)=0,"",_xlfn.XLOOKUP(C440,Customers!$A$2:$A$1001,Customers!$C$2:$C$1001))</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_xlfn.XLOOKUP(Orders[[#This Row],[Customer ID]],Customers!$A$2:$A$1001,Customers!$I$2:$I$1001,0)</f>
        <v>No</v>
      </c>
    </row>
    <row r="441" spans="1:16" x14ac:dyDescent="0.3">
      <c r="A441" s="2" t="s">
        <v>2962</v>
      </c>
      <c r="B441" s="3">
        <v>43562</v>
      </c>
      <c r="C441" s="2" t="s">
        <v>2963</v>
      </c>
      <c r="D441" t="s">
        <v>6176</v>
      </c>
      <c r="E441" s="2">
        <v>4</v>
      </c>
      <c r="F441" s="2" t="str">
        <f>_xlfn.XLOOKUP(C441,Customers!$A$2:$A$1001,Customers!$B$2:$B$1001,0)</f>
        <v>Chickie Ragless</v>
      </c>
      <c r="G441" s="2" t="str">
        <f>IF(_xlfn.XLOOKUP(C441,Customers!$A$2:$A$1001,Customers!$C$2:$C$1001)=0,"",_xlfn.XLOOKUP(C441,Customers!$A$2:$A$1001,Customers!$C$2:$C$1001))</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_xlfn.XLOOKUP(Orders[[#This Row],[Customer ID]],Customers!$A$2:$A$1001,Customers!$I$2:$I$1001,0)</f>
        <v>No</v>
      </c>
    </row>
    <row r="442" spans="1:16" x14ac:dyDescent="0.3">
      <c r="A442" s="2" t="s">
        <v>2968</v>
      </c>
      <c r="B442" s="3">
        <v>44230</v>
      </c>
      <c r="C442" s="2" t="s">
        <v>2969</v>
      </c>
      <c r="D442" t="s">
        <v>6175</v>
      </c>
      <c r="E442" s="2">
        <v>4</v>
      </c>
      <c r="F442" s="2" t="str">
        <f>_xlfn.XLOOKUP(C442,Customers!$A$2:$A$1001,Customers!$B$2:$B$1001,0)</f>
        <v>Freda Hollows</v>
      </c>
      <c r="G442" s="2" t="str">
        <f>IF(_xlfn.XLOOKUP(C442,Customers!$A$2:$A$1001,Customers!$C$2:$C$1001)=0,"",_xlfn.XLOOKUP(C442,Customers!$A$2:$A$1001,Customers!$C$2:$C$1001))</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_xlfn.XLOOKUP(Orders[[#This Row],[Customer ID]],Customers!$A$2:$A$1001,Customers!$I$2:$I$1001,0)</f>
        <v>Yes</v>
      </c>
    </row>
    <row r="443" spans="1:16" x14ac:dyDescent="0.3">
      <c r="A443" s="2" t="s">
        <v>2974</v>
      </c>
      <c r="B443" s="3">
        <v>43573</v>
      </c>
      <c r="C443" s="2" t="s">
        <v>2975</v>
      </c>
      <c r="D443" t="s">
        <v>6183</v>
      </c>
      <c r="E443" s="2">
        <v>3</v>
      </c>
      <c r="F443" s="2" t="str">
        <f>_xlfn.XLOOKUP(C443,Customers!$A$2:$A$1001,Customers!$B$2:$B$1001,0)</f>
        <v>Livy Lathleiff</v>
      </c>
      <c r="G443" s="2" t="str">
        <f>IF(_xlfn.XLOOKUP(C443,Customers!$A$2:$A$1001,Customers!$C$2:$C$1001)=0,"",_xlfn.XLOOKUP(C443,Customers!$A$2:$A$1001,Customers!$C$2:$C$1001))</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_xlfn.XLOOKUP(Orders[[#This Row],[Customer ID]],Customers!$A$2:$A$1001,Customers!$I$2:$I$1001,0)</f>
        <v>Yes</v>
      </c>
    </row>
    <row r="444" spans="1:16" x14ac:dyDescent="0.3">
      <c r="A444" s="2" t="s">
        <v>2980</v>
      </c>
      <c r="B444" s="3">
        <v>44384</v>
      </c>
      <c r="C444" s="2" t="s">
        <v>2981</v>
      </c>
      <c r="D444" t="s">
        <v>6173</v>
      </c>
      <c r="E444" s="2">
        <v>5</v>
      </c>
      <c r="F444" s="2" t="str">
        <f>_xlfn.XLOOKUP(C444,Customers!$A$2:$A$1001,Customers!$B$2:$B$1001,0)</f>
        <v>Koralle Heads</v>
      </c>
      <c r="G444" s="2" t="str">
        <f>IF(_xlfn.XLOOKUP(C444,Customers!$A$2:$A$1001,Customers!$C$2:$C$1001)=0,"",_xlfn.XLOOKUP(C444,Customers!$A$2:$A$1001,Customers!$C$2:$C$1001))</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_xlfn.XLOOKUP(Orders[[#This Row],[Customer ID]],Customers!$A$2:$A$1001,Customers!$I$2:$I$1001,0)</f>
        <v>No</v>
      </c>
    </row>
    <row r="445" spans="1:16" x14ac:dyDescent="0.3">
      <c r="A445" s="2" t="s">
        <v>2986</v>
      </c>
      <c r="B445" s="3">
        <v>44250</v>
      </c>
      <c r="C445" s="2" t="s">
        <v>2987</v>
      </c>
      <c r="D445" t="s">
        <v>6184</v>
      </c>
      <c r="E445" s="2">
        <v>5</v>
      </c>
      <c r="F445" s="2" t="str">
        <f>_xlfn.XLOOKUP(C445,Customers!$A$2:$A$1001,Customers!$B$2:$B$1001,0)</f>
        <v>Theo Bowne</v>
      </c>
      <c r="G445" s="2" t="str">
        <f>IF(_xlfn.XLOOKUP(C445,Customers!$A$2:$A$1001,Customers!$C$2:$C$1001)=0,"",_xlfn.XLOOKUP(C445,Customers!$A$2:$A$1001,Customers!$C$2:$C$1001))</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_xlfn.XLOOKUP(Orders[[#This Row],[Customer ID]],Customers!$A$2:$A$1001,Customers!$I$2:$I$1001,0)</f>
        <v>Yes</v>
      </c>
    </row>
    <row r="446" spans="1:16" x14ac:dyDescent="0.3">
      <c r="A446" s="2" t="s">
        <v>2992</v>
      </c>
      <c r="B446" s="3">
        <v>44418</v>
      </c>
      <c r="C446" s="2" t="s">
        <v>2993</v>
      </c>
      <c r="D446" t="s">
        <v>6156</v>
      </c>
      <c r="E446" s="2">
        <v>6</v>
      </c>
      <c r="F446" s="2" t="str">
        <f>_xlfn.XLOOKUP(C446,Customers!$A$2:$A$1001,Customers!$B$2:$B$1001,0)</f>
        <v>Rasia Jacquemard</v>
      </c>
      <c r="G446" s="2" t="str">
        <f>IF(_xlfn.XLOOKUP(C446,Customers!$A$2:$A$1001,Customers!$C$2:$C$1001)=0,"",_xlfn.XLOOKUP(C446,Customers!$A$2:$A$1001,Customers!$C$2:$C$1001))</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_xlfn.XLOOKUP(Orders[[#This Row],[Customer ID]],Customers!$A$2:$A$1001,Customers!$I$2:$I$1001,0)</f>
        <v>No</v>
      </c>
    </row>
    <row r="447" spans="1:16" x14ac:dyDescent="0.3">
      <c r="A447" s="2" t="s">
        <v>2999</v>
      </c>
      <c r="B447" s="3">
        <v>43784</v>
      </c>
      <c r="C447" s="2" t="s">
        <v>3000</v>
      </c>
      <c r="D447" t="s">
        <v>6181</v>
      </c>
      <c r="E447" s="2">
        <v>2</v>
      </c>
      <c r="F447" s="2" t="str">
        <f>_xlfn.XLOOKUP(C447,Customers!$A$2:$A$1001,Customers!$B$2:$B$1001,0)</f>
        <v>Kizzie Warman</v>
      </c>
      <c r="G447" s="2" t="str">
        <f>IF(_xlfn.XLOOKUP(C447,Customers!$A$2:$A$1001,Customers!$C$2:$C$1001)=0,"",_xlfn.XLOOKUP(C447,Customers!$A$2:$A$1001,Customers!$C$2:$C$1001))</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_xlfn.XLOOKUP(Orders[[#This Row],[Customer ID]],Customers!$A$2:$A$1001,Customers!$I$2:$I$1001,0)</f>
        <v>Yes</v>
      </c>
    </row>
    <row r="448" spans="1:16" x14ac:dyDescent="0.3">
      <c r="A448" s="2" t="s">
        <v>3004</v>
      </c>
      <c r="B448" s="3">
        <v>43816</v>
      </c>
      <c r="C448" s="2" t="s">
        <v>3005</v>
      </c>
      <c r="D448" t="s">
        <v>6160</v>
      </c>
      <c r="E448" s="2">
        <v>1</v>
      </c>
      <c r="F448" s="2" t="str">
        <f>_xlfn.XLOOKUP(C448,Customers!$A$2:$A$1001,Customers!$B$2:$B$1001,0)</f>
        <v>Wain Cholomin</v>
      </c>
      <c r="G448" s="2" t="str">
        <f>IF(_xlfn.XLOOKUP(C448,Customers!$A$2:$A$1001,Customers!$C$2:$C$1001)=0,"",_xlfn.XLOOKUP(C448,Customers!$A$2:$A$1001,Customers!$C$2:$C$1001))</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_xlfn.XLOOKUP(Orders[[#This Row],[Customer ID]],Customers!$A$2:$A$1001,Customers!$I$2:$I$1001,0)</f>
        <v>Yes</v>
      </c>
    </row>
    <row r="449" spans="1:16" x14ac:dyDescent="0.3">
      <c r="A449" s="2" t="s">
        <v>3010</v>
      </c>
      <c r="B449" s="3">
        <v>43908</v>
      </c>
      <c r="C449" s="2" t="s">
        <v>3011</v>
      </c>
      <c r="D449" t="s">
        <v>6146</v>
      </c>
      <c r="E449" s="2">
        <v>3</v>
      </c>
      <c r="F449" s="2" t="str">
        <f>_xlfn.XLOOKUP(C449,Customers!$A$2:$A$1001,Customers!$B$2:$B$1001,0)</f>
        <v>Arleen Braidman</v>
      </c>
      <c r="G449" s="2" t="str">
        <f>IF(_xlfn.XLOOKUP(C449,Customers!$A$2:$A$1001,Customers!$C$2:$C$1001)=0,"",_xlfn.XLOOKUP(C449,Customers!$A$2:$A$1001,Customers!$C$2:$C$1001))</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_xlfn.XLOOKUP(Orders[[#This Row],[Customer ID]],Customers!$A$2:$A$1001,Customers!$I$2:$I$1001,0)</f>
        <v>No</v>
      </c>
    </row>
    <row r="450" spans="1:16" x14ac:dyDescent="0.3">
      <c r="A450" s="2" t="s">
        <v>3015</v>
      </c>
      <c r="B450" s="3">
        <v>44718</v>
      </c>
      <c r="C450" s="2" t="s">
        <v>3016</v>
      </c>
      <c r="D450" t="s">
        <v>6173</v>
      </c>
      <c r="E450" s="2">
        <v>1</v>
      </c>
      <c r="F450" s="2" t="str">
        <f>_xlfn.XLOOKUP(C450,Customers!$A$2:$A$1001,Customers!$B$2:$B$1001,0)</f>
        <v>Pru Durban</v>
      </c>
      <c r="G450" s="2" t="str">
        <f>IF(_xlfn.XLOOKUP(C450,Customers!$A$2:$A$1001,Customers!$C$2:$C$1001)=0,"",_xlfn.XLOOKUP(C450,Customers!$A$2:$A$1001,Customers!$C$2:$C$1001))</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ref="M450:M513" si="21">L450*E450</f>
        <v>7.169999999999999</v>
      </c>
      <c r="N450" t="str">
        <f t="shared" ref="N450:N513" si="22">IF(I450="Rob","Robusta",IF(I450="Exc","Excelsa",IF(I450="Ara","Arabica",IF(I450="Lib","Liberica",""))))</f>
        <v>Robusta</v>
      </c>
      <c r="O450" t="str">
        <f t="shared" ref="O450:O513" si="23">IF(J450="M","Medium",IF(J450="L","Light",IF(J450="D","Dark","")))</f>
        <v>Light</v>
      </c>
      <c r="P450" t="str">
        <f>_xlfn.XLOOKUP(Orders[[#This Row],[Customer ID]],Customers!$A$2:$A$1001,Customers!$I$2:$I$1001,0)</f>
        <v>No</v>
      </c>
    </row>
    <row r="451" spans="1:16" x14ac:dyDescent="0.3">
      <c r="A451" s="2" t="s">
        <v>3021</v>
      </c>
      <c r="B451" s="3">
        <v>44336</v>
      </c>
      <c r="C451" s="2" t="s">
        <v>3022</v>
      </c>
      <c r="D451" t="s">
        <v>6163</v>
      </c>
      <c r="E451" s="2">
        <v>2</v>
      </c>
      <c r="F451" s="2" t="str">
        <f>_xlfn.XLOOKUP(C451,Customers!$A$2:$A$1001,Customers!$B$2:$B$1001,0)</f>
        <v>Antone Harrold</v>
      </c>
      <c r="G451" s="2" t="str">
        <f>IF(_xlfn.XLOOKUP(C451,Customers!$A$2:$A$1001,Customers!$C$2:$C$1001)=0,"",_xlfn.XLOOKUP(C451,Customers!$A$2:$A$1001,Customers!$C$2:$C$1001))</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si="21"/>
        <v>5.3699999999999992</v>
      </c>
      <c r="N451" t="str">
        <f t="shared" si="22"/>
        <v>Robusta</v>
      </c>
      <c r="O451" t="str">
        <f t="shared" si="23"/>
        <v>Dark</v>
      </c>
      <c r="P451" t="str">
        <f>_xlfn.XLOOKUP(Orders[[#This Row],[Customer ID]],Customers!$A$2:$A$1001,Customers!$I$2:$I$1001,0)</f>
        <v>No</v>
      </c>
    </row>
    <row r="452" spans="1:16" x14ac:dyDescent="0.3">
      <c r="A452" s="2" t="s">
        <v>3027</v>
      </c>
      <c r="B452" s="3">
        <v>44207</v>
      </c>
      <c r="C452" s="2" t="s">
        <v>3028</v>
      </c>
      <c r="D452" t="s">
        <v>6145</v>
      </c>
      <c r="E452" s="2">
        <v>5</v>
      </c>
      <c r="F452" s="2" t="str">
        <f>_xlfn.XLOOKUP(C452,Customers!$A$2:$A$1001,Customers!$B$2:$B$1001,0)</f>
        <v>Sim Pamphilon</v>
      </c>
      <c r="G452" s="2" t="str">
        <f>IF(_xlfn.XLOOKUP(C452,Customers!$A$2:$A$1001,Customers!$C$2:$C$1001)=0,"",_xlfn.XLOOKUP(C452,Customers!$A$2:$A$1001,Customers!$C$2:$C$1001))</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_xlfn.XLOOKUP(Orders[[#This Row],[Customer ID]],Customers!$A$2:$A$1001,Customers!$I$2:$I$1001,0)</f>
        <v>No</v>
      </c>
    </row>
    <row r="453" spans="1:16" x14ac:dyDescent="0.3">
      <c r="A453" s="2" t="s">
        <v>3035</v>
      </c>
      <c r="B453" s="3">
        <v>43518</v>
      </c>
      <c r="C453" s="2" t="s">
        <v>3036</v>
      </c>
      <c r="D453" t="s">
        <v>6149</v>
      </c>
      <c r="E453" s="2">
        <v>2</v>
      </c>
      <c r="F453" s="2" t="str">
        <f>_xlfn.XLOOKUP(C453,Customers!$A$2:$A$1001,Customers!$B$2:$B$1001,0)</f>
        <v>Mohandis Spurden</v>
      </c>
      <c r="G453" s="2" t="str">
        <f>IF(_xlfn.XLOOKUP(C453,Customers!$A$2:$A$1001,Customers!$C$2:$C$1001)=0,"",_xlfn.XLOOKUP(C453,Customers!$A$2:$A$1001,Customers!$C$2:$C$1001))</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_xlfn.XLOOKUP(Orders[[#This Row],[Customer ID]],Customers!$A$2:$A$1001,Customers!$I$2:$I$1001,0)</f>
        <v>Yes</v>
      </c>
    </row>
    <row r="454" spans="1:16" x14ac:dyDescent="0.3">
      <c r="A454" s="2" t="s">
        <v>3041</v>
      </c>
      <c r="B454" s="3">
        <v>44524</v>
      </c>
      <c r="C454" s="2" t="s">
        <v>3042</v>
      </c>
      <c r="D454" t="s">
        <v>6167</v>
      </c>
      <c r="E454" s="2">
        <v>3</v>
      </c>
      <c r="F454" s="2" t="str">
        <f>_xlfn.XLOOKUP(C454,Customers!$A$2:$A$1001,Customers!$B$2:$B$1001,0)</f>
        <v>Morgen Seson</v>
      </c>
      <c r="G454" s="2" t="str">
        <f>IF(_xlfn.XLOOKUP(C454,Customers!$A$2:$A$1001,Customers!$C$2:$C$1001)=0,"",_xlfn.XLOOKUP(C454,Customers!$A$2:$A$1001,Customers!$C$2:$C$1001))</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_xlfn.XLOOKUP(Orders[[#This Row],[Customer ID]],Customers!$A$2:$A$1001,Customers!$I$2:$I$1001,0)</f>
        <v>No</v>
      </c>
    </row>
    <row r="455" spans="1:16" x14ac:dyDescent="0.3">
      <c r="A455" s="2" t="s">
        <v>3047</v>
      </c>
      <c r="B455" s="3">
        <v>44579</v>
      </c>
      <c r="C455" s="2" t="s">
        <v>3048</v>
      </c>
      <c r="D455" t="s">
        <v>6161</v>
      </c>
      <c r="E455" s="2">
        <v>4</v>
      </c>
      <c r="F455" s="2" t="str">
        <f>_xlfn.XLOOKUP(C455,Customers!$A$2:$A$1001,Customers!$B$2:$B$1001,0)</f>
        <v>Nalani Pirrone</v>
      </c>
      <c r="G455" s="2" t="str">
        <f>IF(_xlfn.XLOOKUP(C455,Customers!$A$2:$A$1001,Customers!$C$2:$C$1001)=0,"",_xlfn.XLOOKUP(C455,Customers!$A$2:$A$1001,Customers!$C$2:$C$1001))</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_xlfn.XLOOKUP(Orders[[#This Row],[Customer ID]],Customers!$A$2:$A$1001,Customers!$I$2:$I$1001,0)</f>
        <v>No</v>
      </c>
    </row>
    <row r="456" spans="1:16" x14ac:dyDescent="0.3">
      <c r="A456" s="2" t="s">
        <v>3053</v>
      </c>
      <c r="B456" s="3">
        <v>44421</v>
      </c>
      <c r="C456" s="2" t="s">
        <v>3054</v>
      </c>
      <c r="D456" t="s">
        <v>6149</v>
      </c>
      <c r="E456" s="2">
        <v>4</v>
      </c>
      <c r="F456" s="2" t="str">
        <f>_xlfn.XLOOKUP(C456,Customers!$A$2:$A$1001,Customers!$B$2:$B$1001,0)</f>
        <v>Reube Cawley</v>
      </c>
      <c r="G456" s="2" t="str">
        <f>IF(_xlfn.XLOOKUP(C456,Customers!$A$2:$A$1001,Customers!$C$2:$C$1001)=0,"",_xlfn.XLOOKUP(C456,Customers!$A$2:$A$1001,Customers!$C$2:$C$1001))</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_xlfn.XLOOKUP(Orders[[#This Row],[Customer ID]],Customers!$A$2:$A$1001,Customers!$I$2:$I$1001,0)</f>
        <v>Yes</v>
      </c>
    </row>
    <row r="457" spans="1:16" x14ac:dyDescent="0.3">
      <c r="A457" s="2" t="s">
        <v>3058</v>
      </c>
      <c r="B457" s="3">
        <v>43841</v>
      </c>
      <c r="C457" s="2" t="s">
        <v>3059</v>
      </c>
      <c r="D457" t="s">
        <v>6145</v>
      </c>
      <c r="E457" s="2">
        <v>2</v>
      </c>
      <c r="F457" s="2" t="str">
        <f>_xlfn.XLOOKUP(C457,Customers!$A$2:$A$1001,Customers!$B$2:$B$1001,0)</f>
        <v>Stan Barribal</v>
      </c>
      <c r="G457" s="2" t="str">
        <f>IF(_xlfn.XLOOKUP(C457,Customers!$A$2:$A$1001,Customers!$C$2:$C$1001)=0,"",_xlfn.XLOOKUP(C457,Customers!$A$2:$A$1001,Customers!$C$2:$C$1001))</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_xlfn.XLOOKUP(Orders[[#This Row],[Customer ID]],Customers!$A$2:$A$1001,Customers!$I$2:$I$1001,0)</f>
        <v>Yes</v>
      </c>
    </row>
    <row r="458" spans="1:16" x14ac:dyDescent="0.3">
      <c r="A458" s="2" t="s">
        <v>3064</v>
      </c>
      <c r="B458" s="3">
        <v>44017</v>
      </c>
      <c r="C458" s="2" t="s">
        <v>3065</v>
      </c>
      <c r="D458" t="s">
        <v>6149</v>
      </c>
      <c r="E458" s="2">
        <v>2</v>
      </c>
      <c r="F458" s="2" t="str">
        <f>_xlfn.XLOOKUP(C458,Customers!$A$2:$A$1001,Customers!$B$2:$B$1001,0)</f>
        <v>Agnes Adamides</v>
      </c>
      <c r="G458" s="2" t="str">
        <f>IF(_xlfn.XLOOKUP(C458,Customers!$A$2:$A$1001,Customers!$C$2:$C$1001)=0,"",_xlfn.XLOOKUP(C458,Customers!$A$2:$A$1001,Customers!$C$2:$C$1001))</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_xlfn.XLOOKUP(Orders[[#This Row],[Customer ID]],Customers!$A$2:$A$1001,Customers!$I$2:$I$1001,0)</f>
        <v>No</v>
      </c>
    </row>
    <row r="459" spans="1:16" x14ac:dyDescent="0.3">
      <c r="A459" s="2" t="s">
        <v>3070</v>
      </c>
      <c r="B459" s="3">
        <v>43671</v>
      </c>
      <c r="C459" s="2" t="s">
        <v>3071</v>
      </c>
      <c r="D459" t="s">
        <v>6161</v>
      </c>
      <c r="E459" s="2">
        <v>5</v>
      </c>
      <c r="F459" s="2" t="str">
        <f>_xlfn.XLOOKUP(C459,Customers!$A$2:$A$1001,Customers!$B$2:$B$1001,0)</f>
        <v>Carmelita Thowes</v>
      </c>
      <c r="G459" s="2" t="str">
        <f>IF(_xlfn.XLOOKUP(C459,Customers!$A$2:$A$1001,Customers!$C$2:$C$1001)=0,"",_xlfn.XLOOKUP(C459,Customers!$A$2:$A$1001,Customers!$C$2:$C$1001))</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_xlfn.XLOOKUP(Orders[[#This Row],[Customer ID]],Customers!$A$2:$A$1001,Customers!$I$2:$I$1001,0)</f>
        <v>No</v>
      </c>
    </row>
    <row r="460" spans="1:16" x14ac:dyDescent="0.3">
      <c r="A460" s="2" t="s">
        <v>3076</v>
      </c>
      <c r="B460" s="3">
        <v>44707</v>
      </c>
      <c r="C460" s="2" t="s">
        <v>3077</v>
      </c>
      <c r="D460" t="s">
        <v>6155</v>
      </c>
      <c r="E460" s="2">
        <v>4</v>
      </c>
      <c r="F460" s="2" t="str">
        <f>_xlfn.XLOOKUP(C460,Customers!$A$2:$A$1001,Customers!$B$2:$B$1001,0)</f>
        <v>Rodolfo Willoway</v>
      </c>
      <c r="G460" s="2" t="str">
        <f>IF(_xlfn.XLOOKUP(C460,Customers!$A$2:$A$1001,Customers!$C$2:$C$1001)=0,"",_xlfn.XLOOKUP(C460,Customers!$A$2:$A$1001,Customers!$C$2:$C$1001))</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_xlfn.XLOOKUP(Orders[[#This Row],[Customer ID]],Customers!$A$2:$A$1001,Customers!$I$2:$I$1001,0)</f>
        <v>No</v>
      </c>
    </row>
    <row r="461" spans="1:16" x14ac:dyDescent="0.3">
      <c r="A461" s="2" t="s">
        <v>3082</v>
      </c>
      <c r="B461" s="3">
        <v>43840</v>
      </c>
      <c r="C461" s="2" t="s">
        <v>3083</v>
      </c>
      <c r="D461" t="s">
        <v>6145</v>
      </c>
      <c r="E461" s="2">
        <v>5</v>
      </c>
      <c r="F461" s="2" t="str">
        <f>_xlfn.XLOOKUP(C461,Customers!$A$2:$A$1001,Customers!$B$2:$B$1001,0)</f>
        <v>Alvis Elwin</v>
      </c>
      <c r="G461" s="2" t="str">
        <f>IF(_xlfn.XLOOKUP(C461,Customers!$A$2:$A$1001,Customers!$C$2:$C$1001)=0,"",_xlfn.XLOOKUP(C461,Customers!$A$2:$A$1001,Customers!$C$2:$C$1001))</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_xlfn.XLOOKUP(Orders[[#This Row],[Customer ID]],Customers!$A$2:$A$1001,Customers!$I$2:$I$1001,0)</f>
        <v>No</v>
      </c>
    </row>
    <row r="462" spans="1:16" x14ac:dyDescent="0.3">
      <c r="A462" s="2" t="s">
        <v>3088</v>
      </c>
      <c r="B462" s="3">
        <v>43602</v>
      </c>
      <c r="C462" s="2" t="s">
        <v>3089</v>
      </c>
      <c r="D462" t="s">
        <v>6172</v>
      </c>
      <c r="E462" s="2">
        <v>3</v>
      </c>
      <c r="F462" s="2" t="str">
        <f>_xlfn.XLOOKUP(C462,Customers!$A$2:$A$1001,Customers!$B$2:$B$1001,0)</f>
        <v>Araldo Bilbrook</v>
      </c>
      <c r="G462" s="2" t="str">
        <f>IF(_xlfn.XLOOKUP(C462,Customers!$A$2:$A$1001,Customers!$C$2:$C$1001)=0,"",_xlfn.XLOOKUP(C462,Customers!$A$2:$A$1001,Customers!$C$2:$C$1001))</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_xlfn.XLOOKUP(Orders[[#This Row],[Customer ID]],Customers!$A$2:$A$1001,Customers!$I$2:$I$1001,0)</f>
        <v>Yes</v>
      </c>
    </row>
    <row r="463" spans="1:16" x14ac:dyDescent="0.3">
      <c r="A463" s="2" t="s">
        <v>3094</v>
      </c>
      <c r="B463" s="3">
        <v>44036</v>
      </c>
      <c r="C463" s="2" t="s">
        <v>3095</v>
      </c>
      <c r="D463" t="s">
        <v>6163</v>
      </c>
      <c r="E463" s="2">
        <v>4</v>
      </c>
      <c r="F463" s="2" t="str">
        <f>_xlfn.XLOOKUP(C463,Customers!$A$2:$A$1001,Customers!$B$2:$B$1001,0)</f>
        <v>Ransell McKall</v>
      </c>
      <c r="G463" s="2" t="str">
        <f>IF(_xlfn.XLOOKUP(C463,Customers!$A$2:$A$1001,Customers!$C$2:$C$1001)=0,"",_xlfn.XLOOKUP(C463,Customers!$A$2:$A$1001,Customers!$C$2:$C$1001))</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_xlfn.XLOOKUP(Orders[[#This Row],[Customer ID]],Customers!$A$2:$A$1001,Customers!$I$2:$I$1001,0)</f>
        <v>Yes</v>
      </c>
    </row>
    <row r="464" spans="1:16" x14ac:dyDescent="0.3">
      <c r="A464" s="2" t="s">
        <v>3100</v>
      </c>
      <c r="B464" s="3">
        <v>44124</v>
      </c>
      <c r="C464" s="2" t="s">
        <v>3101</v>
      </c>
      <c r="D464" t="s">
        <v>6147</v>
      </c>
      <c r="E464" s="2">
        <v>5</v>
      </c>
      <c r="F464" s="2" t="str">
        <f>_xlfn.XLOOKUP(C464,Customers!$A$2:$A$1001,Customers!$B$2:$B$1001,0)</f>
        <v>Borg Daile</v>
      </c>
      <c r="G464" s="2" t="str">
        <f>IF(_xlfn.XLOOKUP(C464,Customers!$A$2:$A$1001,Customers!$C$2:$C$1001)=0,"",_xlfn.XLOOKUP(C464,Customers!$A$2:$A$1001,Customers!$C$2:$C$1001))</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_xlfn.XLOOKUP(Orders[[#This Row],[Customer ID]],Customers!$A$2:$A$1001,Customers!$I$2:$I$1001,0)</f>
        <v>Yes</v>
      </c>
    </row>
    <row r="465" spans="1:16" x14ac:dyDescent="0.3">
      <c r="A465" s="2" t="s">
        <v>3106</v>
      </c>
      <c r="B465" s="3">
        <v>43730</v>
      </c>
      <c r="C465" s="2" t="s">
        <v>3107</v>
      </c>
      <c r="D465" t="s">
        <v>6141</v>
      </c>
      <c r="E465" s="2">
        <v>2</v>
      </c>
      <c r="F465" s="2" t="str">
        <f>_xlfn.XLOOKUP(C465,Customers!$A$2:$A$1001,Customers!$B$2:$B$1001,0)</f>
        <v>Adolphe Treherne</v>
      </c>
      <c r="G465" s="2" t="str">
        <f>IF(_xlfn.XLOOKUP(C465,Customers!$A$2:$A$1001,Customers!$C$2:$C$1001)=0,"",_xlfn.XLOOKUP(C465,Customers!$A$2:$A$1001,Customers!$C$2:$C$1001))</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_xlfn.XLOOKUP(Orders[[#This Row],[Customer ID]],Customers!$A$2:$A$1001,Customers!$I$2:$I$1001,0)</f>
        <v>No</v>
      </c>
    </row>
    <row r="466" spans="1:16" x14ac:dyDescent="0.3">
      <c r="A466" s="2" t="s">
        <v>3112</v>
      </c>
      <c r="B466" s="3">
        <v>43989</v>
      </c>
      <c r="C466" s="2" t="s">
        <v>3113</v>
      </c>
      <c r="D466" t="s">
        <v>6165</v>
      </c>
      <c r="E466" s="2">
        <v>4</v>
      </c>
      <c r="F466" s="2" t="str">
        <f>_xlfn.XLOOKUP(C466,Customers!$A$2:$A$1001,Customers!$B$2:$B$1001,0)</f>
        <v>Annetta Brentnall</v>
      </c>
      <c r="G466" s="2" t="str">
        <f>IF(_xlfn.XLOOKUP(C466,Customers!$A$2:$A$1001,Customers!$C$2:$C$1001)=0,"",_xlfn.XLOOKUP(C466,Customers!$A$2:$A$1001,Customers!$C$2:$C$1001))</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_xlfn.XLOOKUP(Orders[[#This Row],[Customer ID]],Customers!$A$2:$A$1001,Customers!$I$2:$I$1001,0)</f>
        <v>No</v>
      </c>
    </row>
    <row r="467" spans="1:16" x14ac:dyDescent="0.3">
      <c r="A467" s="2" t="s">
        <v>3118</v>
      </c>
      <c r="B467" s="3">
        <v>43814</v>
      </c>
      <c r="C467" s="2" t="s">
        <v>3119</v>
      </c>
      <c r="D467" t="s">
        <v>6149</v>
      </c>
      <c r="E467" s="2">
        <v>1</v>
      </c>
      <c r="F467" s="2" t="str">
        <f>_xlfn.XLOOKUP(C467,Customers!$A$2:$A$1001,Customers!$B$2:$B$1001,0)</f>
        <v>Dick Drinkall</v>
      </c>
      <c r="G467" s="2" t="str">
        <f>IF(_xlfn.XLOOKUP(C467,Customers!$A$2:$A$1001,Customers!$C$2:$C$1001)=0,"",_xlfn.XLOOKUP(C467,Customers!$A$2:$A$1001,Customers!$C$2:$C$1001))</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_xlfn.XLOOKUP(Orders[[#This Row],[Customer ID]],Customers!$A$2:$A$1001,Customers!$I$2:$I$1001,0)</f>
        <v>Yes</v>
      </c>
    </row>
    <row r="468" spans="1:16" x14ac:dyDescent="0.3">
      <c r="A468" s="2" t="s">
        <v>3124</v>
      </c>
      <c r="B468" s="3">
        <v>44171</v>
      </c>
      <c r="C468" s="2" t="s">
        <v>3125</v>
      </c>
      <c r="D468" t="s">
        <v>6154</v>
      </c>
      <c r="E468" s="2">
        <v>3</v>
      </c>
      <c r="F468" s="2" t="str">
        <f>_xlfn.XLOOKUP(C468,Customers!$A$2:$A$1001,Customers!$B$2:$B$1001,0)</f>
        <v>Dagny Kornel</v>
      </c>
      <c r="G468" s="2" t="str">
        <f>IF(_xlfn.XLOOKUP(C468,Customers!$A$2:$A$1001,Customers!$C$2:$C$1001)=0,"",_xlfn.XLOOKUP(C468,Customers!$A$2:$A$1001,Customers!$C$2:$C$1001))</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_xlfn.XLOOKUP(Orders[[#This Row],[Customer ID]],Customers!$A$2:$A$1001,Customers!$I$2:$I$1001,0)</f>
        <v>Yes</v>
      </c>
    </row>
    <row r="469" spans="1:16" x14ac:dyDescent="0.3">
      <c r="A469" s="2" t="s">
        <v>3130</v>
      </c>
      <c r="B469" s="3">
        <v>44536</v>
      </c>
      <c r="C469" s="2" t="s">
        <v>3131</v>
      </c>
      <c r="D469" t="s">
        <v>6158</v>
      </c>
      <c r="E469" s="2">
        <v>1</v>
      </c>
      <c r="F469" s="2" t="str">
        <f>_xlfn.XLOOKUP(C469,Customers!$A$2:$A$1001,Customers!$B$2:$B$1001,0)</f>
        <v>Rhona Lequeux</v>
      </c>
      <c r="G469" s="2" t="str">
        <f>IF(_xlfn.XLOOKUP(C469,Customers!$A$2:$A$1001,Customers!$C$2:$C$1001)=0,"",_xlfn.XLOOKUP(C469,Customers!$A$2:$A$1001,Customers!$C$2:$C$1001))</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_xlfn.XLOOKUP(Orders[[#This Row],[Customer ID]],Customers!$A$2:$A$1001,Customers!$I$2:$I$1001,0)</f>
        <v>No</v>
      </c>
    </row>
    <row r="470" spans="1:16" x14ac:dyDescent="0.3">
      <c r="A470" s="2" t="s">
        <v>3136</v>
      </c>
      <c r="B470" s="3">
        <v>44023</v>
      </c>
      <c r="C470" s="2" t="s">
        <v>3137</v>
      </c>
      <c r="D470" t="s">
        <v>6141</v>
      </c>
      <c r="E470" s="2">
        <v>3</v>
      </c>
      <c r="F470" s="2" t="str">
        <f>_xlfn.XLOOKUP(C470,Customers!$A$2:$A$1001,Customers!$B$2:$B$1001,0)</f>
        <v>Julius Mccaull</v>
      </c>
      <c r="G470" s="2" t="str">
        <f>IF(_xlfn.XLOOKUP(C470,Customers!$A$2:$A$1001,Customers!$C$2:$C$1001)=0,"",_xlfn.XLOOKUP(C470,Customers!$A$2:$A$1001,Customers!$C$2:$C$1001))</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_xlfn.XLOOKUP(Orders[[#This Row],[Customer ID]],Customers!$A$2:$A$1001,Customers!$I$2:$I$1001,0)</f>
        <v>Yes</v>
      </c>
    </row>
    <row r="471" spans="1:16" x14ac:dyDescent="0.3">
      <c r="A471" s="2" t="s">
        <v>3141</v>
      </c>
      <c r="B471" s="3">
        <v>44375</v>
      </c>
      <c r="C471" s="2" t="s">
        <v>3194</v>
      </c>
      <c r="D471" t="s">
        <v>6184</v>
      </c>
      <c r="E471" s="2">
        <v>5</v>
      </c>
      <c r="F471" s="2" t="str">
        <f>_xlfn.XLOOKUP(C471,Customers!$A$2:$A$1001,Customers!$B$2:$B$1001,0)</f>
        <v>Ailey Brash</v>
      </c>
      <c r="G471" s="2" t="str">
        <f>IF(_xlfn.XLOOKUP(C471,Customers!$A$2:$A$1001,Customers!$C$2:$C$1001)=0,"",_xlfn.XLOOKUP(C471,Customers!$A$2:$A$1001,Customers!$C$2:$C$1001))</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_xlfn.XLOOKUP(Orders[[#This Row],[Customer ID]],Customers!$A$2:$A$1001,Customers!$I$2:$I$1001,0)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IF(_xlfn.XLOOKUP(C472,Customers!$A$2:$A$1001,Customers!$C$2:$C$1001)=0,"",_xlfn.XLOOKUP(C472,Customers!$A$2:$A$1001,Customers!$C$2:$C$1001))</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_xlfn.XLOOKUP(Orders[[#This Row],[Customer ID]],Customers!$A$2:$A$1001,Customers!$I$2:$I$1001,0)</f>
        <v>Yes</v>
      </c>
    </row>
    <row r="473" spans="1:16" x14ac:dyDescent="0.3">
      <c r="A473" s="2" t="s">
        <v>3153</v>
      </c>
      <c r="B473" s="3">
        <v>44644</v>
      </c>
      <c r="C473" s="2" t="s">
        <v>3154</v>
      </c>
      <c r="D473" t="s">
        <v>6181</v>
      </c>
      <c r="E473" s="2">
        <v>4</v>
      </c>
      <c r="F473" s="2" t="str">
        <f>_xlfn.XLOOKUP(C473,Customers!$A$2:$A$1001,Customers!$B$2:$B$1001,0)</f>
        <v>Lamond Gheeraert</v>
      </c>
      <c r="G473" s="2" t="str">
        <f>IF(_xlfn.XLOOKUP(C473,Customers!$A$2:$A$1001,Customers!$C$2:$C$1001)=0,"",_xlfn.XLOOKUP(C473,Customers!$A$2:$A$1001,Customers!$C$2:$C$1001))</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_xlfn.XLOOKUP(Orders[[#This Row],[Customer ID]],Customers!$A$2:$A$1001,Customers!$I$2:$I$1001,0)</f>
        <v>Yes</v>
      </c>
    </row>
    <row r="474" spans="1:16" x14ac:dyDescent="0.3">
      <c r="A474" s="2" t="s">
        <v>3158</v>
      </c>
      <c r="B474" s="3">
        <v>43869</v>
      </c>
      <c r="C474" s="2" t="s">
        <v>3159</v>
      </c>
      <c r="D474" t="s">
        <v>6154</v>
      </c>
      <c r="E474" s="2">
        <v>2</v>
      </c>
      <c r="F474" s="2" t="str">
        <f>_xlfn.XLOOKUP(C474,Customers!$A$2:$A$1001,Customers!$B$2:$B$1001,0)</f>
        <v>Roxine Drivers</v>
      </c>
      <c r="G474" s="2" t="str">
        <f>IF(_xlfn.XLOOKUP(C474,Customers!$A$2:$A$1001,Customers!$C$2:$C$1001)=0,"",_xlfn.XLOOKUP(C474,Customers!$A$2:$A$1001,Customers!$C$2:$C$1001))</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_xlfn.XLOOKUP(Orders[[#This Row],[Customer ID]],Customers!$A$2:$A$1001,Customers!$I$2:$I$1001,0)</f>
        <v>No</v>
      </c>
    </row>
    <row r="475" spans="1:16" x14ac:dyDescent="0.3">
      <c r="A475" s="2" t="s">
        <v>3164</v>
      </c>
      <c r="B475" s="3">
        <v>44603</v>
      </c>
      <c r="C475" s="2" t="s">
        <v>3165</v>
      </c>
      <c r="D475" t="s">
        <v>6140</v>
      </c>
      <c r="E475" s="2">
        <v>2</v>
      </c>
      <c r="F475" s="2" t="str">
        <f>_xlfn.XLOOKUP(C475,Customers!$A$2:$A$1001,Customers!$B$2:$B$1001,0)</f>
        <v>Heloise Zeal</v>
      </c>
      <c r="G475" s="2" t="str">
        <f>IF(_xlfn.XLOOKUP(C475,Customers!$A$2:$A$1001,Customers!$C$2:$C$1001)=0,"",_xlfn.XLOOKUP(C475,Customers!$A$2:$A$1001,Customers!$C$2:$C$1001))</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_xlfn.XLOOKUP(Orders[[#This Row],[Customer ID]],Customers!$A$2:$A$1001,Customers!$I$2:$I$1001,0)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IF(_xlfn.XLOOKUP(C476,Customers!$A$2:$A$1001,Customers!$C$2:$C$1001)=0,"",_xlfn.XLOOKUP(C476,Customers!$A$2:$A$1001,Customers!$C$2:$C$1001))</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_xlfn.XLOOKUP(Orders[[#This Row],[Customer ID]],Customers!$A$2:$A$1001,Customers!$I$2:$I$1001,0)</f>
        <v>Yes</v>
      </c>
    </row>
    <row r="477" spans="1:16" x14ac:dyDescent="0.3">
      <c r="A477" s="2" t="s">
        <v>3176</v>
      </c>
      <c r="B477" s="3">
        <v>44767</v>
      </c>
      <c r="C477" s="2" t="s">
        <v>3177</v>
      </c>
      <c r="D477" t="s">
        <v>6159</v>
      </c>
      <c r="E477" s="2">
        <v>2</v>
      </c>
      <c r="F477" s="2" t="str">
        <f>_xlfn.XLOOKUP(C477,Customers!$A$2:$A$1001,Customers!$B$2:$B$1001,0)</f>
        <v>Daryn Dibley</v>
      </c>
      <c r="G477" s="2" t="str">
        <f>IF(_xlfn.XLOOKUP(C477,Customers!$A$2:$A$1001,Customers!$C$2:$C$1001)=0,"",_xlfn.XLOOKUP(C477,Customers!$A$2:$A$1001,Customers!$C$2:$C$1001))</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_xlfn.XLOOKUP(Orders[[#This Row],[Customer ID]],Customers!$A$2:$A$1001,Customers!$I$2:$I$1001,0)</f>
        <v>No</v>
      </c>
    </row>
    <row r="478" spans="1:16" x14ac:dyDescent="0.3">
      <c r="A478" s="2" t="s">
        <v>3181</v>
      </c>
      <c r="B478" s="3">
        <v>44274</v>
      </c>
      <c r="C478" s="2" t="s">
        <v>3182</v>
      </c>
      <c r="D478" t="s">
        <v>6184</v>
      </c>
      <c r="E478" s="2">
        <v>6</v>
      </c>
      <c r="F478" s="2" t="str">
        <f>_xlfn.XLOOKUP(C478,Customers!$A$2:$A$1001,Customers!$B$2:$B$1001,0)</f>
        <v>Gardy Dimitriou</v>
      </c>
      <c r="G478" s="2" t="str">
        <f>IF(_xlfn.XLOOKUP(C478,Customers!$A$2:$A$1001,Customers!$C$2:$C$1001)=0,"",_xlfn.XLOOKUP(C478,Customers!$A$2:$A$1001,Customers!$C$2:$C$1001))</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_xlfn.XLOOKUP(Orders[[#This Row],[Customer ID]],Customers!$A$2:$A$1001,Customers!$I$2:$I$1001,0)</f>
        <v>Yes</v>
      </c>
    </row>
    <row r="479" spans="1:16" x14ac:dyDescent="0.3">
      <c r="A479" s="2" t="s">
        <v>3187</v>
      </c>
      <c r="B479" s="3">
        <v>43962</v>
      </c>
      <c r="C479" s="2" t="s">
        <v>3188</v>
      </c>
      <c r="D479" t="s">
        <v>6159</v>
      </c>
      <c r="E479" s="2">
        <v>6</v>
      </c>
      <c r="F479" s="2" t="str">
        <f>_xlfn.XLOOKUP(C479,Customers!$A$2:$A$1001,Customers!$B$2:$B$1001,0)</f>
        <v>Fanny Flanagan</v>
      </c>
      <c r="G479" s="2" t="str">
        <f>IF(_xlfn.XLOOKUP(C479,Customers!$A$2:$A$1001,Customers!$C$2:$C$1001)=0,"",_xlfn.XLOOKUP(C479,Customers!$A$2:$A$1001,Customers!$C$2:$C$1001))</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_xlfn.XLOOKUP(Orders[[#This Row],[Customer ID]],Customers!$A$2:$A$1001,Customers!$I$2:$I$1001,0)</f>
        <v>No</v>
      </c>
    </row>
    <row r="480" spans="1:16" x14ac:dyDescent="0.3">
      <c r="A480" s="2" t="s">
        <v>3193</v>
      </c>
      <c r="B480" s="3">
        <v>43624</v>
      </c>
      <c r="C480" s="2" t="s">
        <v>3194</v>
      </c>
      <c r="D480" t="s">
        <v>6177</v>
      </c>
      <c r="E480" s="2">
        <v>6</v>
      </c>
      <c r="F480" s="2" t="str">
        <f>_xlfn.XLOOKUP(C480,Customers!$A$2:$A$1001,Customers!$B$2:$B$1001,0)</f>
        <v>Ailey Brash</v>
      </c>
      <c r="G480" s="2" t="str">
        <f>IF(_xlfn.XLOOKUP(C480,Customers!$A$2:$A$1001,Customers!$C$2:$C$1001)=0,"",_xlfn.XLOOKUP(C480,Customers!$A$2:$A$1001,Customers!$C$2:$C$1001))</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_xlfn.XLOOKUP(Orders[[#This Row],[Customer ID]],Customers!$A$2:$A$1001,Customers!$I$2:$I$1001,0)</f>
        <v>Yes</v>
      </c>
    </row>
    <row r="481" spans="1:16" x14ac:dyDescent="0.3">
      <c r="A481" s="2" t="s">
        <v>3193</v>
      </c>
      <c r="B481" s="3">
        <v>43624</v>
      </c>
      <c r="C481" s="2" t="s">
        <v>3194</v>
      </c>
      <c r="D481" t="s">
        <v>6166</v>
      </c>
      <c r="E481" s="2">
        <v>4</v>
      </c>
      <c r="F481" s="2" t="str">
        <f>_xlfn.XLOOKUP(C481,Customers!$A$2:$A$1001,Customers!$B$2:$B$1001,0)</f>
        <v>Ailey Brash</v>
      </c>
      <c r="G481" s="2" t="str">
        <f>IF(_xlfn.XLOOKUP(C481,Customers!$A$2:$A$1001,Customers!$C$2:$C$1001)=0,"",_xlfn.XLOOKUP(C481,Customers!$A$2:$A$1001,Customers!$C$2:$C$1001))</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_xlfn.XLOOKUP(Orders[[#This Row],[Customer ID]],Customers!$A$2:$A$1001,Customers!$I$2:$I$1001,0)</f>
        <v>Yes</v>
      </c>
    </row>
    <row r="482" spans="1:16" x14ac:dyDescent="0.3">
      <c r="A482" s="2" t="s">
        <v>3193</v>
      </c>
      <c r="B482" s="3">
        <v>43624</v>
      </c>
      <c r="C482" s="2" t="s">
        <v>3194</v>
      </c>
      <c r="D482" t="s">
        <v>6156</v>
      </c>
      <c r="E482" s="2">
        <v>1</v>
      </c>
      <c r="F482" s="2" t="str">
        <f>_xlfn.XLOOKUP(C482,Customers!$A$2:$A$1001,Customers!$B$2:$B$1001,0)</f>
        <v>Ailey Brash</v>
      </c>
      <c r="G482" s="2" t="str">
        <f>IF(_xlfn.XLOOKUP(C482,Customers!$A$2:$A$1001,Customers!$C$2:$C$1001)=0,"",_xlfn.XLOOKUP(C482,Customers!$A$2:$A$1001,Customers!$C$2:$C$1001))</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_xlfn.XLOOKUP(Orders[[#This Row],[Customer ID]],Customers!$A$2:$A$1001,Customers!$I$2:$I$1001,0)</f>
        <v>Yes</v>
      </c>
    </row>
    <row r="483" spans="1:16" x14ac:dyDescent="0.3">
      <c r="A483" s="2" t="s">
        <v>3208</v>
      </c>
      <c r="B483" s="3">
        <v>43747</v>
      </c>
      <c r="C483" s="2" t="s">
        <v>3209</v>
      </c>
      <c r="D483" t="s">
        <v>6179</v>
      </c>
      <c r="E483" s="2">
        <v>2</v>
      </c>
      <c r="F483" s="2" t="str">
        <f>_xlfn.XLOOKUP(C483,Customers!$A$2:$A$1001,Customers!$B$2:$B$1001,0)</f>
        <v>Nanny Izhakov</v>
      </c>
      <c r="G483" s="2" t="str">
        <f>IF(_xlfn.XLOOKUP(C483,Customers!$A$2:$A$1001,Customers!$C$2:$C$1001)=0,"",_xlfn.XLOOKUP(C483,Customers!$A$2:$A$1001,Customers!$C$2:$C$1001))</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_xlfn.XLOOKUP(Orders[[#This Row],[Customer ID]],Customers!$A$2:$A$1001,Customers!$I$2:$I$1001,0)</f>
        <v>No</v>
      </c>
    </row>
    <row r="484" spans="1:16" x14ac:dyDescent="0.3">
      <c r="A484" s="2" t="s">
        <v>3214</v>
      </c>
      <c r="B484" s="3">
        <v>44247</v>
      </c>
      <c r="C484" s="2" t="s">
        <v>3215</v>
      </c>
      <c r="D484" t="s">
        <v>6185</v>
      </c>
      <c r="E484" s="2">
        <v>5</v>
      </c>
      <c r="F484" s="2" t="str">
        <f>_xlfn.XLOOKUP(C484,Customers!$A$2:$A$1001,Customers!$B$2:$B$1001,0)</f>
        <v>Stanly Keets</v>
      </c>
      <c r="G484" s="2" t="str">
        <f>IF(_xlfn.XLOOKUP(C484,Customers!$A$2:$A$1001,Customers!$C$2:$C$1001)=0,"",_xlfn.XLOOKUP(C484,Customers!$A$2:$A$1001,Customers!$C$2:$C$1001))</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_xlfn.XLOOKUP(Orders[[#This Row],[Customer ID]],Customers!$A$2:$A$1001,Customers!$I$2:$I$1001,0)</f>
        <v>Yes</v>
      </c>
    </row>
    <row r="485" spans="1:16" x14ac:dyDescent="0.3">
      <c r="A485" s="2" t="s">
        <v>3220</v>
      </c>
      <c r="B485" s="3">
        <v>43790</v>
      </c>
      <c r="C485" s="2" t="s">
        <v>3221</v>
      </c>
      <c r="D485" t="s">
        <v>6165</v>
      </c>
      <c r="E485" s="2">
        <v>2</v>
      </c>
      <c r="F485" s="2" t="str">
        <f>_xlfn.XLOOKUP(C485,Customers!$A$2:$A$1001,Customers!$B$2:$B$1001,0)</f>
        <v>Orion Dyott</v>
      </c>
      <c r="G485" s="2" t="str">
        <f>IF(_xlfn.XLOOKUP(C485,Customers!$A$2:$A$1001,Customers!$C$2:$C$1001)=0,"",_xlfn.XLOOKUP(C485,Customers!$A$2:$A$1001,Customers!$C$2:$C$1001))</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_xlfn.XLOOKUP(Orders[[#This Row],[Customer ID]],Customers!$A$2:$A$1001,Customers!$I$2:$I$1001,0)</f>
        <v>Yes</v>
      </c>
    </row>
    <row r="486" spans="1:16" x14ac:dyDescent="0.3">
      <c r="A486" s="2" t="s">
        <v>3225</v>
      </c>
      <c r="B486" s="3">
        <v>44479</v>
      </c>
      <c r="C486" s="2" t="s">
        <v>3226</v>
      </c>
      <c r="D486" t="s">
        <v>6161</v>
      </c>
      <c r="E486" s="2">
        <v>6</v>
      </c>
      <c r="F486" s="2" t="str">
        <f>_xlfn.XLOOKUP(C486,Customers!$A$2:$A$1001,Customers!$B$2:$B$1001,0)</f>
        <v>Keefer Cake</v>
      </c>
      <c r="G486" s="2" t="str">
        <f>IF(_xlfn.XLOOKUP(C486,Customers!$A$2:$A$1001,Customers!$C$2:$C$1001)=0,"",_xlfn.XLOOKUP(C486,Customers!$A$2:$A$1001,Customers!$C$2:$C$1001))</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_xlfn.XLOOKUP(Orders[[#This Row],[Customer ID]],Customers!$A$2:$A$1001,Customers!$I$2:$I$1001,0)</f>
        <v>No</v>
      </c>
    </row>
    <row r="487" spans="1:16" x14ac:dyDescent="0.3">
      <c r="A487" s="2" t="s">
        <v>3230</v>
      </c>
      <c r="B487" s="3">
        <v>44413</v>
      </c>
      <c r="C487" s="2" t="s">
        <v>3231</v>
      </c>
      <c r="D487" t="s">
        <v>6178</v>
      </c>
      <c r="E487" s="2">
        <v>6</v>
      </c>
      <c r="F487" s="2" t="str">
        <f>_xlfn.XLOOKUP(C487,Customers!$A$2:$A$1001,Customers!$B$2:$B$1001,0)</f>
        <v>Morna Hansed</v>
      </c>
      <c r="G487" s="2" t="str">
        <f>IF(_xlfn.XLOOKUP(C487,Customers!$A$2:$A$1001,Customers!$C$2:$C$1001)=0,"",_xlfn.XLOOKUP(C487,Customers!$A$2:$A$1001,Customers!$C$2:$C$1001))</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_xlfn.XLOOKUP(Orders[[#This Row],[Customer ID]],Customers!$A$2:$A$1001,Customers!$I$2:$I$1001,0)</f>
        <v>Yes</v>
      </c>
    </row>
    <row r="488" spans="1:16" x14ac:dyDescent="0.3">
      <c r="A488" s="2" t="s">
        <v>3236</v>
      </c>
      <c r="B488" s="3">
        <v>44043</v>
      </c>
      <c r="C488" s="2" t="s">
        <v>3237</v>
      </c>
      <c r="D488" t="s">
        <v>6160</v>
      </c>
      <c r="E488" s="2">
        <v>6</v>
      </c>
      <c r="F488" s="2" t="str">
        <f>_xlfn.XLOOKUP(C488,Customers!$A$2:$A$1001,Customers!$B$2:$B$1001,0)</f>
        <v>Franny Kienlein</v>
      </c>
      <c r="G488" s="2" t="str">
        <f>IF(_xlfn.XLOOKUP(C488,Customers!$A$2:$A$1001,Customers!$C$2:$C$1001)=0,"",_xlfn.XLOOKUP(C488,Customers!$A$2:$A$1001,Customers!$C$2:$C$1001))</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_xlfn.XLOOKUP(Orders[[#This Row],[Customer ID]],Customers!$A$2:$A$1001,Customers!$I$2:$I$1001,0)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IF(_xlfn.XLOOKUP(C489,Customers!$A$2:$A$1001,Customers!$C$2:$C$1001)=0,"",_xlfn.XLOOKUP(C489,Customers!$A$2:$A$1001,Customers!$C$2:$C$1001))</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_xlfn.XLOOKUP(Orders[[#This Row],[Customer ID]],Customers!$A$2:$A$1001,Customers!$I$2:$I$1001,0)</f>
        <v>No</v>
      </c>
    </row>
    <row r="490" spans="1:16" x14ac:dyDescent="0.3">
      <c r="A490" s="2" t="s">
        <v>3248</v>
      </c>
      <c r="B490" s="3">
        <v>43954</v>
      </c>
      <c r="C490" s="2" t="s">
        <v>3249</v>
      </c>
      <c r="D490" t="s">
        <v>6174</v>
      </c>
      <c r="E490" s="2">
        <v>5</v>
      </c>
      <c r="F490" s="2" t="str">
        <f>_xlfn.XLOOKUP(C490,Customers!$A$2:$A$1001,Customers!$B$2:$B$1001,0)</f>
        <v>Becky Semkins</v>
      </c>
      <c r="G490" s="2" t="str">
        <f>IF(_xlfn.XLOOKUP(C490,Customers!$A$2:$A$1001,Customers!$C$2:$C$1001)=0,"",_xlfn.XLOOKUP(C490,Customers!$A$2:$A$1001,Customers!$C$2:$C$1001))</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_xlfn.XLOOKUP(Orders[[#This Row],[Customer ID]],Customers!$A$2:$A$1001,Customers!$I$2:$I$1001,0)</f>
        <v>Yes</v>
      </c>
    </row>
    <row r="491" spans="1:16" x14ac:dyDescent="0.3">
      <c r="A491" s="2" t="s">
        <v>3254</v>
      </c>
      <c r="B491" s="3">
        <v>43654</v>
      </c>
      <c r="C491" s="2" t="s">
        <v>3255</v>
      </c>
      <c r="D491" t="s">
        <v>6170</v>
      </c>
      <c r="E491" s="2">
        <v>6</v>
      </c>
      <c r="F491" s="2" t="str">
        <f>_xlfn.XLOOKUP(C491,Customers!$A$2:$A$1001,Customers!$B$2:$B$1001,0)</f>
        <v>Sean Lorenzetti</v>
      </c>
      <c r="G491" s="2" t="str">
        <f>IF(_xlfn.XLOOKUP(C491,Customers!$A$2:$A$1001,Customers!$C$2:$C$1001)=0,"",_xlfn.XLOOKUP(C491,Customers!$A$2:$A$1001,Customers!$C$2:$C$1001))</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_xlfn.XLOOKUP(Orders[[#This Row],[Customer ID]],Customers!$A$2:$A$1001,Customers!$I$2:$I$1001,0)</f>
        <v>No</v>
      </c>
    </row>
    <row r="492" spans="1:16" x14ac:dyDescent="0.3">
      <c r="A492" s="2" t="s">
        <v>3260</v>
      </c>
      <c r="B492" s="3">
        <v>43764</v>
      </c>
      <c r="C492" s="2" t="s">
        <v>3261</v>
      </c>
      <c r="D492" t="s">
        <v>6169</v>
      </c>
      <c r="E492" s="2">
        <v>2</v>
      </c>
      <c r="F492" s="2" t="str">
        <f>_xlfn.XLOOKUP(C492,Customers!$A$2:$A$1001,Customers!$B$2:$B$1001,0)</f>
        <v>Bob Giannazzi</v>
      </c>
      <c r="G492" s="2" t="str">
        <f>IF(_xlfn.XLOOKUP(C492,Customers!$A$2:$A$1001,Customers!$C$2:$C$1001)=0,"",_xlfn.XLOOKUP(C492,Customers!$A$2:$A$1001,Customers!$C$2:$C$1001))</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_xlfn.XLOOKUP(Orders[[#This Row],[Customer ID]],Customers!$A$2:$A$1001,Customers!$I$2:$I$1001,0)</f>
        <v>No</v>
      </c>
    </row>
    <row r="493" spans="1:16" x14ac:dyDescent="0.3">
      <c r="A493" s="2" t="s">
        <v>3266</v>
      </c>
      <c r="B493" s="3">
        <v>44101</v>
      </c>
      <c r="C493" s="2" t="s">
        <v>3267</v>
      </c>
      <c r="D493" t="s">
        <v>6150</v>
      </c>
      <c r="E493" s="2">
        <v>6</v>
      </c>
      <c r="F493" s="2" t="str">
        <f>_xlfn.XLOOKUP(C493,Customers!$A$2:$A$1001,Customers!$B$2:$B$1001,0)</f>
        <v>Kendra Backshell</v>
      </c>
      <c r="G493" s="2" t="str">
        <f>IF(_xlfn.XLOOKUP(C493,Customers!$A$2:$A$1001,Customers!$C$2:$C$1001)=0,"",_xlfn.XLOOKUP(C493,Customers!$A$2:$A$1001,Customers!$C$2:$C$1001))</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_xlfn.XLOOKUP(Orders[[#This Row],[Customer ID]],Customers!$A$2:$A$1001,Customers!$I$2:$I$1001,0)</f>
        <v>No</v>
      </c>
    </row>
    <row r="494" spans="1:16" x14ac:dyDescent="0.3">
      <c r="A494" s="2" t="s">
        <v>3271</v>
      </c>
      <c r="B494" s="3">
        <v>44620</v>
      </c>
      <c r="C494" s="2" t="s">
        <v>3272</v>
      </c>
      <c r="D494" t="s">
        <v>6156</v>
      </c>
      <c r="E494" s="2">
        <v>1</v>
      </c>
      <c r="F494" s="2" t="str">
        <f>_xlfn.XLOOKUP(C494,Customers!$A$2:$A$1001,Customers!$B$2:$B$1001,0)</f>
        <v>Uriah Lethbrig</v>
      </c>
      <c r="G494" s="2" t="str">
        <f>IF(_xlfn.XLOOKUP(C494,Customers!$A$2:$A$1001,Customers!$C$2:$C$1001)=0,"",_xlfn.XLOOKUP(C494,Customers!$A$2:$A$1001,Customers!$C$2:$C$1001))</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_xlfn.XLOOKUP(Orders[[#This Row],[Customer ID]],Customers!$A$2:$A$1001,Customers!$I$2:$I$1001,0)</f>
        <v>Yes</v>
      </c>
    </row>
    <row r="495" spans="1:16" x14ac:dyDescent="0.3">
      <c r="A495" s="2" t="s">
        <v>3277</v>
      </c>
      <c r="B495" s="3">
        <v>44090</v>
      </c>
      <c r="C495" s="2" t="s">
        <v>3278</v>
      </c>
      <c r="D495" t="s">
        <v>6146</v>
      </c>
      <c r="E495" s="2">
        <v>6</v>
      </c>
      <c r="F495" s="2" t="str">
        <f>_xlfn.XLOOKUP(C495,Customers!$A$2:$A$1001,Customers!$B$2:$B$1001,0)</f>
        <v>Sky Farnish</v>
      </c>
      <c r="G495" s="2" t="str">
        <f>IF(_xlfn.XLOOKUP(C495,Customers!$A$2:$A$1001,Customers!$C$2:$C$1001)=0,"",_xlfn.XLOOKUP(C495,Customers!$A$2:$A$1001,Customers!$C$2:$C$1001))</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_xlfn.XLOOKUP(Orders[[#This Row],[Customer ID]],Customers!$A$2:$A$1001,Customers!$I$2:$I$1001,0)</f>
        <v>No</v>
      </c>
    </row>
    <row r="496" spans="1:16" x14ac:dyDescent="0.3">
      <c r="A496" s="2" t="s">
        <v>3283</v>
      </c>
      <c r="B496" s="3">
        <v>44132</v>
      </c>
      <c r="C496" s="2" t="s">
        <v>3284</v>
      </c>
      <c r="D496" t="s">
        <v>6170</v>
      </c>
      <c r="E496" s="2">
        <v>2</v>
      </c>
      <c r="F496" s="2" t="str">
        <f>_xlfn.XLOOKUP(C496,Customers!$A$2:$A$1001,Customers!$B$2:$B$1001,0)</f>
        <v>Felicia Jecock</v>
      </c>
      <c r="G496" s="2" t="str">
        <f>IF(_xlfn.XLOOKUP(C496,Customers!$A$2:$A$1001,Customers!$C$2:$C$1001)=0,"",_xlfn.XLOOKUP(C496,Customers!$A$2:$A$1001,Customers!$C$2:$C$1001))</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_xlfn.XLOOKUP(Orders[[#This Row],[Customer ID]],Customers!$A$2:$A$1001,Customers!$I$2:$I$1001,0)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IF(_xlfn.XLOOKUP(C497,Customers!$A$2:$A$1001,Customers!$C$2:$C$1001)=0,"",_xlfn.XLOOKUP(C497,Customers!$A$2:$A$1001,Customers!$C$2:$C$1001))</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_xlfn.XLOOKUP(Orders[[#This Row],[Customer ID]],Customers!$A$2:$A$1001,Customers!$I$2:$I$1001,0)</f>
        <v>Yes</v>
      </c>
    </row>
    <row r="498" spans="1:16" x14ac:dyDescent="0.3">
      <c r="A498" s="2" t="s">
        <v>3294</v>
      </c>
      <c r="B498" s="3">
        <v>44438</v>
      </c>
      <c r="C498" s="2" t="s">
        <v>3295</v>
      </c>
      <c r="D498" t="s">
        <v>6153</v>
      </c>
      <c r="E498" s="2">
        <v>3</v>
      </c>
      <c r="F498" s="2" t="str">
        <f>_xlfn.XLOOKUP(C498,Customers!$A$2:$A$1001,Customers!$B$2:$B$1001,0)</f>
        <v>Hamlen Pallister</v>
      </c>
      <c r="G498" s="2" t="str">
        <f>IF(_xlfn.XLOOKUP(C498,Customers!$A$2:$A$1001,Customers!$C$2:$C$1001)=0,"",_xlfn.XLOOKUP(C498,Customers!$A$2:$A$1001,Customers!$C$2:$C$1001))</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_xlfn.XLOOKUP(Orders[[#This Row],[Customer ID]],Customers!$A$2:$A$1001,Customers!$I$2:$I$1001,0)</f>
        <v>No</v>
      </c>
    </row>
    <row r="499" spans="1:16" x14ac:dyDescent="0.3">
      <c r="A499" s="2" t="s">
        <v>3300</v>
      </c>
      <c r="B499" s="3">
        <v>44351</v>
      </c>
      <c r="C499" s="2" t="s">
        <v>3301</v>
      </c>
      <c r="D499" t="s">
        <v>6147</v>
      </c>
      <c r="E499" s="2">
        <v>4</v>
      </c>
      <c r="F499" s="2" t="str">
        <f>_xlfn.XLOOKUP(C499,Customers!$A$2:$A$1001,Customers!$B$2:$B$1001,0)</f>
        <v>Chantal Mersh</v>
      </c>
      <c r="G499" s="2" t="str">
        <f>IF(_xlfn.XLOOKUP(C499,Customers!$A$2:$A$1001,Customers!$C$2:$C$1001)=0,"",_xlfn.XLOOKUP(C499,Customers!$A$2:$A$1001,Customers!$C$2:$C$1001))</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_xlfn.XLOOKUP(Orders[[#This Row],[Customer ID]],Customers!$A$2:$A$1001,Customers!$I$2:$I$1001,0)</f>
        <v>No</v>
      </c>
    </row>
    <row r="500" spans="1:16" x14ac:dyDescent="0.3">
      <c r="A500" s="2" t="s">
        <v>3307</v>
      </c>
      <c r="B500" s="3">
        <v>44159</v>
      </c>
      <c r="C500" s="2" t="s">
        <v>3368</v>
      </c>
      <c r="D500" t="s">
        <v>6138</v>
      </c>
      <c r="E500" s="2">
        <v>5</v>
      </c>
      <c r="F500" s="2" t="str">
        <f>_xlfn.XLOOKUP(C500,Customers!$A$2:$A$1001,Customers!$B$2:$B$1001,0)</f>
        <v>Marja Urion</v>
      </c>
      <c r="G500" s="2" t="str">
        <f>IF(_xlfn.XLOOKUP(C500,Customers!$A$2:$A$1001,Customers!$C$2:$C$1001)=0,"",_xlfn.XLOOKUP(C500,Customers!$A$2:$A$1001,Customers!$C$2:$C$1001))</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_xlfn.XLOOKUP(Orders[[#This Row],[Customer ID]],Customers!$A$2:$A$1001,Customers!$I$2:$I$1001,0)</f>
        <v>Yes</v>
      </c>
    </row>
    <row r="501" spans="1:16" x14ac:dyDescent="0.3">
      <c r="A501" s="2" t="s">
        <v>3313</v>
      </c>
      <c r="B501" s="3">
        <v>44003</v>
      </c>
      <c r="C501" s="2" t="s">
        <v>3314</v>
      </c>
      <c r="D501" t="s">
        <v>6163</v>
      </c>
      <c r="E501" s="2">
        <v>3</v>
      </c>
      <c r="F501" s="2" t="str">
        <f>_xlfn.XLOOKUP(C501,Customers!$A$2:$A$1001,Customers!$B$2:$B$1001,0)</f>
        <v>Malynda Purbrick</v>
      </c>
      <c r="G501" s="2" t="str">
        <f>IF(_xlfn.XLOOKUP(C501,Customers!$A$2:$A$1001,Customers!$C$2:$C$1001)=0,"",_xlfn.XLOOKUP(C501,Customers!$A$2:$A$1001,Customers!$C$2:$C$1001))</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_xlfn.XLOOKUP(Orders[[#This Row],[Customer ID]],Customers!$A$2:$A$1001,Customers!$I$2:$I$1001,0)</f>
        <v>Yes</v>
      </c>
    </row>
    <row r="502" spans="1:16" x14ac:dyDescent="0.3">
      <c r="A502" s="2" t="s">
        <v>3318</v>
      </c>
      <c r="B502" s="3">
        <v>44025</v>
      </c>
      <c r="C502" s="2" t="s">
        <v>3319</v>
      </c>
      <c r="D502" t="s">
        <v>6179</v>
      </c>
      <c r="E502" s="2">
        <v>4</v>
      </c>
      <c r="F502" s="2" t="str">
        <f>_xlfn.XLOOKUP(C502,Customers!$A$2:$A$1001,Customers!$B$2:$B$1001,0)</f>
        <v>Alf Housaman</v>
      </c>
      <c r="G502" s="2" t="str">
        <f>IF(_xlfn.XLOOKUP(C502,Customers!$A$2:$A$1001,Customers!$C$2:$C$1001)=0,"",_xlfn.XLOOKUP(C502,Customers!$A$2:$A$1001,Customers!$C$2:$C$1001))</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_xlfn.XLOOKUP(Orders[[#This Row],[Customer ID]],Customers!$A$2:$A$1001,Customers!$I$2:$I$1001,0)</f>
        <v>No</v>
      </c>
    </row>
    <row r="503" spans="1:16" x14ac:dyDescent="0.3">
      <c r="A503" s="2" t="s">
        <v>3323</v>
      </c>
      <c r="B503" s="3">
        <v>43467</v>
      </c>
      <c r="C503" s="2" t="s">
        <v>3324</v>
      </c>
      <c r="D503" t="s">
        <v>6174</v>
      </c>
      <c r="E503" s="2">
        <v>4</v>
      </c>
      <c r="F503" s="2" t="str">
        <f>_xlfn.XLOOKUP(C503,Customers!$A$2:$A$1001,Customers!$B$2:$B$1001,0)</f>
        <v>Gladi Ducker</v>
      </c>
      <c r="G503" s="2" t="str">
        <f>IF(_xlfn.XLOOKUP(C503,Customers!$A$2:$A$1001,Customers!$C$2:$C$1001)=0,"",_xlfn.XLOOKUP(C503,Customers!$A$2:$A$1001,Customers!$C$2:$C$1001))</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_xlfn.XLOOKUP(Orders[[#This Row],[Customer ID]],Customers!$A$2:$A$1001,Customers!$I$2:$I$1001,0)</f>
        <v>No</v>
      </c>
    </row>
    <row r="504" spans="1:16" x14ac:dyDescent="0.3">
      <c r="A504" s="2" t="s">
        <v>3323</v>
      </c>
      <c r="B504" s="3">
        <v>43467</v>
      </c>
      <c r="C504" s="2" t="s">
        <v>3324</v>
      </c>
      <c r="D504" t="s">
        <v>6156</v>
      </c>
      <c r="E504" s="2">
        <v>4</v>
      </c>
      <c r="F504" s="2" t="str">
        <f>_xlfn.XLOOKUP(C504,Customers!$A$2:$A$1001,Customers!$B$2:$B$1001,0)</f>
        <v>Gladi Ducker</v>
      </c>
      <c r="G504" s="2" t="str">
        <f>IF(_xlfn.XLOOKUP(C504,Customers!$A$2:$A$1001,Customers!$C$2:$C$1001)=0,"",_xlfn.XLOOKUP(C504,Customers!$A$2:$A$1001,Customers!$C$2:$C$1001))</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_xlfn.XLOOKUP(Orders[[#This Row],[Customer ID]],Customers!$A$2:$A$1001,Customers!$I$2:$I$1001,0)</f>
        <v>No</v>
      </c>
    </row>
    <row r="505" spans="1:16" x14ac:dyDescent="0.3">
      <c r="A505" s="2" t="s">
        <v>3323</v>
      </c>
      <c r="B505" s="3">
        <v>43467</v>
      </c>
      <c r="C505" s="2" t="s">
        <v>3324</v>
      </c>
      <c r="D505" t="s">
        <v>6143</v>
      </c>
      <c r="E505" s="2">
        <v>4</v>
      </c>
      <c r="F505" s="2" t="str">
        <f>_xlfn.XLOOKUP(C505,Customers!$A$2:$A$1001,Customers!$B$2:$B$1001,0)</f>
        <v>Gladi Ducker</v>
      </c>
      <c r="G505" s="2" t="str">
        <f>IF(_xlfn.XLOOKUP(C505,Customers!$A$2:$A$1001,Customers!$C$2:$C$1001)=0,"",_xlfn.XLOOKUP(C505,Customers!$A$2:$A$1001,Customers!$C$2:$C$1001))</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_xlfn.XLOOKUP(Orders[[#This Row],[Customer ID]],Customers!$A$2:$A$1001,Customers!$I$2:$I$1001,0)</f>
        <v>No</v>
      </c>
    </row>
    <row r="506" spans="1:16" x14ac:dyDescent="0.3">
      <c r="A506" s="2" t="s">
        <v>3323</v>
      </c>
      <c r="B506" s="3">
        <v>43467</v>
      </c>
      <c r="C506" s="2" t="s">
        <v>3324</v>
      </c>
      <c r="D506" t="s">
        <v>6145</v>
      </c>
      <c r="E506" s="2">
        <v>3</v>
      </c>
      <c r="F506" s="2" t="str">
        <f>_xlfn.XLOOKUP(C506,Customers!$A$2:$A$1001,Customers!$B$2:$B$1001,0)</f>
        <v>Gladi Ducker</v>
      </c>
      <c r="G506" s="2" t="str">
        <f>IF(_xlfn.XLOOKUP(C506,Customers!$A$2:$A$1001,Customers!$C$2:$C$1001)=0,"",_xlfn.XLOOKUP(C506,Customers!$A$2:$A$1001,Customers!$C$2:$C$1001))</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_xlfn.XLOOKUP(Orders[[#This Row],[Customer ID]],Customers!$A$2:$A$1001,Customers!$I$2:$I$1001,0)</f>
        <v>No</v>
      </c>
    </row>
    <row r="507" spans="1:16" x14ac:dyDescent="0.3">
      <c r="A507" s="2" t="s">
        <v>3343</v>
      </c>
      <c r="B507" s="3">
        <v>44609</v>
      </c>
      <c r="C507" s="2" t="s">
        <v>3344</v>
      </c>
      <c r="D507" t="s">
        <v>6159</v>
      </c>
      <c r="E507" s="2">
        <v>6</v>
      </c>
      <c r="F507" s="2" t="str">
        <f>_xlfn.XLOOKUP(C507,Customers!$A$2:$A$1001,Customers!$B$2:$B$1001,0)</f>
        <v>Wain Stearley</v>
      </c>
      <c r="G507" s="2" t="str">
        <f>IF(_xlfn.XLOOKUP(C507,Customers!$A$2:$A$1001,Customers!$C$2:$C$1001)=0,"",_xlfn.XLOOKUP(C507,Customers!$A$2:$A$1001,Customers!$C$2:$C$1001))</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_xlfn.XLOOKUP(Orders[[#This Row],[Customer ID]],Customers!$A$2:$A$1001,Customers!$I$2:$I$1001,0)</f>
        <v>No</v>
      </c>
    </row>
    <row r="508" spans="1:16" x14ac:dyDescent="0.3">
      <c r="A508" s="2" t="s">
        <v>3349</v>
      </c>
      <c r="B508" s="3">
        <v>44184</v>
      </c>
      <c r="C508" s="2" t="s">
        <v>3350</v>
      </c>
      <c r="D508" t="s">
        <v>6140</v>
      </c>
      <c r="E508" s="2">
        <v>2</v>
      </c>
      <c r="F508" s="2" t="str">
        <f>_xlfn.XLOOKUP(C508,Customers!$A$2:$A$1001,Customers!$B$2:$B$1001,0)</f>
        <v>Diane-marie Wincer</v>
      </c>
      <c r="G508" s="2" t="str">
        <f>IF(_xlfn.XLOOKUP(C508,Customers!$A$2:$A$1001,Customers!$C$2:$C$1001)=0,"",_xlfn.XLOOKUP(C508,Customers!$A$2:$A$1001,Customers!$C$2:$C$1001))</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_xlfn.XLOOKUP(Orders[[#This Row],[Customer ID]],Customers!$A$2:$A$1001,Customers!$I$2:$I$1001,0)</f>
        <v>Yes</v>
      </c>
    </row>
    <row r="509" spans="1:16" x14ac:dyDescent="0.3">
      <c r="A509" s="2" t="s">
        <v>3355</v>
      </c>
      <c r="B509" s="3">
        <v>43516</v>
      </c>
      <c r="C509" s="2" t="s">
        <v>3356</v>
      </c>
      <c r="D509" t="s">
        <v>6182</v>
      </c>
      <c r="E509" s="2">
        <v>3</v>
      </c>
      <c r="F509" s="2" t="str">
        <f>_xlfn.XLOOKUP(C509,Customers!$A$2:$A$1001,Customers!$B$2:$B$1001,0)</f>
        <v>Perry Lyfield</v>
      </c>
      <c r="G509" s="2" t="str">
        <f>IF(_xlfn.XLOOKUP(C509,Customers!$A$2:$A$1001,Customers!$C$2:$C$1001)=0,"",_xlfn.XLOOKUP(C509,Customers!$A$2:$A$1001,Customers!$C$2:$C$1001))</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_xlfn.XLOOKUP(Orders[[#This Row],[Customer ID]],Customers!$A$2:$A$1001,Customers!$I$2:$I$1001,0)</f>
        <v>Yes</v>
      </c>
    </row>
    <row r="510" spans="1:16" x14ac:dyDescent="0.3">
      <c r="A510" s="2" t="s">
        <v>3361</v>
      </c>
      <c r="B510" s="3">
        <v>44210</v>
      </c>
      <c r="C510" s="2" t="s">
        <v>3362</v>
      </c>
      <c r="D510" t="s">
        <v>6169</v>
      </c>
      <c r="E510" s="2">
        <v>6</v>
      </c>
      <c r="F510" s="2" t="str">
        <f>_xlfn.XLOOKUP(C510,Customers!$A$2:$A$1001,Customers!$B$2:$B$1001,0)</f>
        <v>Heall Perris</v>
      </c>
      <c r="G510" s="2" t="str">
        <f>IF(_xlfn.XLOOKUP(C510,Customers!$A$2:$A$1001,Customers!$C$2:$C$1001)=0,"",_xlfn.XLOOKUP(C510,Customers!$A$2:$A$1001,Customers!$C$2:$C$1001))</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_xlfn.XLOOKUP(Orders[[#This Row],[Customer ID]],Customers!$A$2:$A$1001,Customers!$I$2:$I$1001,0)</f>
        <v>No</v>
      </c>
    </row>
    <row r="511" spans="1:16" x14ac:dyDescent="0.3">
      <c r="A511" s="2" t="s">
        <v>3367</v>
      </c>
      <c r="B511" s="3">
        <v>43785</v>
      </c>
      <c r="C511" s="2" t="s">
        <v>3368</v>
      </c>
      <c r="D511" t="s">
        <v>6147</v>
      </c>
      <c r="E511" s="2">
        <v>3</v>
      </c>
      <c r="F511" s="2" t="str">
        <f>_xlfn.XLOOKUP(C511,Customers!$A$2:$A$1001,Customers!$B$2:$B$1001,0)</f>
        <v>Marja Urion</v>
      </c>
      <c r="G511" s="2" t="str">
        <f>IF(_xlfn.XLOOKUP(C511,Customers!$A$2:$A$1001,Customers!$C$2:$C$1001)=0,"",_xlfn.XLOOKUP(C511,Customers!$A$2:$A$1001,Customers!$C$2:$C$1001))</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_xlfn.XLOOKUP(Orders[[#This Row],[Customer ID]],Customers!$A$2:$A$1001,Customers!$I$2:$I$1001,0)</f>
        <v>Yes</v>
      </c>
    </row>
    <row r="512" spans="1:16" x14ac:dyDescent="0.3">
      <c r="A512" s="2" t="s">
        <v>3373</v>
      </c>
      <c r="B512" s="3">
        <v>43803</v>
      </c>
      <c r="C512" s="2" t="s">
        <v>3374</v>
      </c>
      <c r="D512" t="s">
        <v>6178</v>
      </c>
      <c r="E512" s="2">
        <v>3</v>
      </c>
      <c r="F512" s="2" t="str">
        <f>_xlfn.XLOOKUP(C512,Customers!$A$2:$A$1001,Customers!$B$2:$B$1001,0)</f>
        <v>Camellia Kid</v>
      </c>
      <c r="G512" s="2" t="str">
        <f>IF(_xlfn.XLOOKUP(C512,Customers!$A$2:$A$1001,Customers!$C$2:$C$1001)=0,"",_xlfn.XLOOKUP(C512,Customers!$A$2:$A$1001,Customers!$C$2:$C$1001))</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_xlfn.XLOOKUP(Orders[[#This Row],[Customer ID]],Customers!$A$2:$A$1001,Customers!$I$2:$I$1001,0)</f>
        <v>Yes</v>
      </c>
    </row>
    <row r="513" spans="1:16" x14ac:dyDescent="0.3">
      <c r="A513" s="2" t="s">
        <v>3379</v>
      </c>
      <c r="B513" s="3">
        <v>44043</v>
      </c>
      <c r="C513" s="2" t="s">
        <v>3380</v>
      </c>
      <c r="D513" t="s">
        <v>6152</v>
      </c>
      <c r="E513" s="2">
        <v>4</v>
      </c>
      <c r="F513" s="2" t="str">
        <f>_xlfn.XLOOKUP(C513,Customers!$A$2:$A$1001,Customers!$B$2:$B$1001,0)</f>
        <v>Carolann Beine</v>
      </c>
      <c r="G513" s="2" t="str">
        <f>IF(_xlfn.XLOOKUP(C513,Customers!$A$2:$A$1001,Customers!$C$2:$C$1001)=0,"",_xlfn.XLOOKUP(C513,Customers!$A$2:$A$1001,Customers!$C$2:$C$1001))</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_xlfn.XLOOKUP(Orders[[#This Row],[Customer ID]],Customers!$A$2:$A$1001,Customers!$I$2:$I$1001,0)</f>
        <v>Yes</v>
      </c>
    </row>
    <row r="514" spans="1:16" x14ac:dyDescent="0.3">
      <c r="A514" s="2" t="s">
        <v>3385</v>
      </c>
      <c r="B514" s="3">
        <v>43535</v>
      </c>
      <c r="C514" s="2" t="s">
        <v>3386</v>
      </c>
      <c r="D514" t="s">
        <v>6170</v>
      </c>
      <c r="E514" s="2">
        <v>3</v>
      </c>
      <c r="F514" s="2" t="str">
        <f>_xlfn.XLOOKUP(C514,Customers!$A$2:$A$1001,Customers!$B$2:$B$1001,0)</f>
        <v>Celia Bakeup</v>
      </c>
      <c r="G514" s="2" t="str">
        <f>IF(_xlfn.XLOOKUP(C514,Customers!$A$2:$A$1001,Customers!$C$2:$C$1001)=0,"",_xlfn.XLOOKUP(C514,Customers!$A$2:$A$1001,Customers!$C$2:$C$1001))</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ref="M514:M577" si="24">L514*E514</f>
        <v>47.55</v>
      </c>
      <c r="N514" t="str">
        <f t="shared" ref="N514:N577" si="25">IF(I514="Rob","Robusta",IF(I514="Exc","Excelsa",IF(I514="Ara","Arabica",IF(I514="Lib","Liberica",""))))</f>
        <v>Liberica</v>
      </c>
      <c r="O514" t="str">
        <f t="shared" ref="O514:O577" si="26">IF(J514="M","Medium",IF(J514="L","Light",IF(J514="D","Dark","")))</f>
        <v>Light</v>
      </c>
      <c r="P514" t="str">
        <f>_xlfn.XLOOKUP(Orders[[#This Row],[Customer ID]],Customers!$A$2:$A$1001,Customers!$I$2:$I$1001,0)</f>
        <v>No</v>
      </c>
    </row>
    <row r="515" spans="1:16" x14ac:dyDescent="0.3">
      <c r="A515" s="2" t="s">
        <v>3391</v>
      </c>
      <c r="B515" s="3">
        <v>44691</v>
      </c>
      <c r="C515" s="2" t="s">
        <v>3392</v>
      </c>
      <c r="D515" t="s">
        <v>6170</v>
      </c>
      <c r="E515" s="2">
        <v>5</v>
      </c>
      <c r="F515" s="2" t="str">
        <f>_xlfn.XLOOKUP(C515,Customers!$A$2:$A$1001,Customers!$B$2:$B$1001,0)</f>
        <v>Nataniel Helkin</v>
      </c>
      <c r="G515" s="2" t="str">
        <f>IF(_xlfn.XLOOKUP(C515,Customers!$A$2:$A$1001,Customers!$C$2:$C$1001)=0,"",_xlfn.XLOOKUP(C515,Customers!$A$2:$A$1001,Customers!$C$2:$C$1001))</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si="24"/>
        <v>79.25</v>
      </c>
      <c r="N515" t="str">
        <f t="shared" si="25"/>
        <v>Liberica</v>
      </c>
      <c r="O515" t="str">
        <f t="shared" si="26"/>
        <v>Light</v>
      </c>
      <c r="P515" t="str">
        <f>_xlfn.XLOOKUP(Orders[[#This Row],[Customer ID]],Customers!$A$2:$A$1001,Customers!$I$2:$I$1001,0)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IF(_xlfn.XLOOKUP(C516,Customers!$A$2:$A$1001,Customers!$C$2:$C$1001)=0,"",_xlfn.XLOOKUP(C516,Customers!$A$2:$A$1001,Customers!$C$2:$C$1001))</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_xlfn.XLOOKUP(Orders[[#This Row],[Customer ID]],Customers!$A$2:$A$1001,Customers!$I$2:$I$1001,0)</f>
        <v>Yes</v>
      </c>
    </row>
    <row r="517" spans="1:16" x14ac:dyDescent="0.3">
      <c r="A517" s="2" t="s">
        <v>3402</v>
      </c>
      <c r="B517" s="3">
        <v>44673</v>
      </c>
      <c r="C517" s="2" t="s">
        <v>3403</v>
      </c>
      <c r="D517" t="s">
        <v>6173</v>
      </c>
      <c r="E517" s="2">
        <v>3</v>
      </c>
      <c r="F517" s="2" t="str">
        <f>_xlfn.XLOOKUP(C517,Customers!$A$2:$A$1001,Customers!$B$2:$B$1001,0)</f>
        <v>Tildie Tilzey</v>
      </c>
      <c r="G517" s="2" t="str">
        <f>IF(_xlfn.XLOOKUP(C517,Customers!$A$2:$A$1001,Customers!$C$2:$C$1001)=0,"",_xlfn.XLOOKUP(C517,Customers!$A$2:$A$1001,Customers!$C$2:$C$1001))</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_xlfn.XLOOKUP(Orders[[#This Row],[Customer ID]],Customers!$A$2:$A$1001,Customers!$I$2:$I$1001,0)</f>
        <v>No</v>
      </c>
    </row>
    <row r="518" spans="1:16" x14ac:dyDescent="0.3">
      <c r="A518" s="2" t="s">
        <v>3408</v>
      </c>
      <c r="B518" s="3">
        <v>44723</v>
      </c>
      <c r="C518" s="2" t="s">
        <v>3409</v>
      </c>
      <c r="D518" t="s">
        <v>6149</v>
      </c>
      <c r="E518" s="2">
        <v>5</v>
      </c>
      <c r="F518" s="2" t="str">
        <f>_xlfn.XLOOKUP(C518,Customers!$A$2:$A$1001,Customers!$B$2:$B$1001,0)</f>
        <v>Cindra Burling</v>
      </c>
      <c r="G518" s="2" t="str">
        <f>IF(_xlfn.XLOOKUP(C518,Customers!$A$2:$A$1001,Customers!$C$2:$C$1001)=0,"",_xlfn.XLOOKUP(C518,Customers!$A$2:$A$1001,Customers!$C$2:$C$1001))</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_xlfn.XLOOKUP(Orders[[#This Row],[Customer ID]],Customers!$A$2:$A$1001,Customers!$I$2:$I$1001,0)</f>
        <v>Yes</v>
      </c>
    </row>
    <row r="519" spans="1:16" x14ac:dyDescent="0.3">
      <c r="A519" s="2" t="s">
        <v>3413</v>
      </c>
      <c r="B519" s="3">
        <v>44678</v>
      </c>
      <c r="C519" s="2" t="s">
        <v>3414</v>
      </c>
      <c r="D519" t="s">
        <v>6150</v>
      </c>
      <c r="E519" s="2">
        <v>2</v>
      </c>
      <c r="F519" s="2" t="str">
        <f>_xlfn.XLOOKUP(C519,Customers!$A$2:$A$1001,Customers!$B$2:$B$1001,0)</f>
        <v>Channa Belamy</v>
      </c>
      <c r="G519" s="2" t="str">
        <f>IF(_xlfn.XLOOKUP(C519,Customers!$A$2:$A$1001,Customers!$C$2:$C$1001)=0,"",_xlfn.XLOOKUP(C519,Customers!$A$2:$A$1001,Customers!$C$2:$C$1001))</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_xlfn.XLOOKUP(Orders[[#This Row],[Customer ID]],Customers!$A$2:$A$1001,Customers!$I$2:$I$1001,0)</f>
        <v>No</v>
      </c>
    </row>
    <row r="520" spans="1:16" x14ac:dyDescent="0.3">
      <c r="A520" s="2" t="s">
        <v>3418</v>
      </c>
      <c r="B520" s="3">
        <v>44194</v>
      </c>
      <c r="C520" s="2" t="s">
        <v>3419</v>
      </c>
      <c r="D520" t="s">
        <v>6185</v>
      </c>
      <c r="E520" s="2">
        <v>5</v>
      </c>
      <c r="F520" s="2" t="str">
        <f>_xlfn.XLOOKUP(C520,Customers!$A$2:$A$1001,Customers!$B$2:$B$1001,0)</f>
        <v>Karl Imorts</v>
      </c>
      <c r="G520" s="2" t="str">
        <f>IF(_xlfn.XLOOKUP(C520,Customers!$A$2:$A$1001,Customers!$C$2:$C$1001)=0,"",_xlfn.XLOOKUP(C520,Customers!$A$2:$A$1001,Customers!$C$2:$C$1001))</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_xlfn.XLOOKUP(Orders[[#This Row],[Customer ID]],Customers!$A$2:$A$1001,Customers!$I$2:$I$1001,0)</f>
        <v>No</v>
      </c>
    </row>
    <row r="521" spans="1:16" x14ac:dyDescent="0.3">
      <c r="A521" s="2" t="s">
        <v>3424</v>
      </c>
      <c r="B521" s="3">
        <v>44026</v>
      </c>
      <c r="C521" s="2" t="s">
        <v>3368</v>
      </c>
      <c r="D521" t="s">
        <v>6158</v>
      </c>
      <c r="E521" s="2">
        <v>2</v>
      </c>
      <c r="F521" s="2" t="str">
        <f>_xlfn.XLOOKUP(C521,Customers!$A$2:$A$1001,Customers!$B$2:$B$1001,0)</f>
        <v>Marja Urion</v>
      </c>
      <c r="G521" s="2" t="str">
        <f>IF(_xlfn.XLOOKUP(C521,Customers!$A$2:$A$1001,Customers!$C$2:$C$1001)=0,"",_xlfn.XLOOKUP(C521,Customers!$A$2:$A$1001,Customers!$C$2:$C$1001))</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_xlfn.XLOOKUP(Orders[[#This Row],[Customer ID]],Customers!$A$2:$A$1001,Customers!$I$2:$I$1001,0)</f>
        <v>Yes</v>
      </c>
    </row>
    <row r="522" spans="1:16" x14ac:dyDescent="0.3">
      <c r="A522" s="2" t="s">
        <v>3430</v>
      </c>
      <c r="B522" s="3">
        <v>44446</v>
      </c>
      <c r="C522" s="2" t="s">
        <v>3431</v>
      </c>
      <c r="D522" t="s">
        <v>6150</v>
      </c>
      <c r="E522" s="2">
        <v>1</v>
      </c>
      <c r="F522" s="2" t="str">
        <f>_xlfn.XLOOKUP(C522,Customers!$A$2:$A$1001,Customers!$B$2:$B$1001,0)</f>
        <v>Mag Armistead</v>
      </c>
      <c r="G522" s="2" t="str">
        <f>IF(_xlfn.XLOOKUP(C522,Customers!$A$2:$A$1001,Customers!$C$2:$C$1001)=0,"",_xlfn.XLOOKUP(C522,Customers!$A$2:$A$1001,Customers!$C$2:$C$1001))</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_xlfn.XLOOKUP(Orders[[#This Row],[Customer ID]],Customers!$A$2:$A$1001,Customers!$I$2:$I$1001,0)</f>
        <v>No</v>
      </c>
    </row>
    <row r="523" spans="1:16" x14ac:dyDescent="0.3">
      <c r="A523" s="2" t="s">
        <v>3430</v>
      </c>
      <c r="B523" s="3">
        <v>44446</v>
      </c>
      <c r="C523" s="2" t="s">
        <v>3431</v>
      </c>
      <c r="D523" t="s">
        <v>6138</v>
      </c>
      <c r="E523" s="2">
        <v>4</v>
      </c>
      <c r="F523" s="2" t="str">
        <f>_xlfn.XLOOKUP(C523,Customers!$A$2:$A$1001,Customers!$B$2:$B$1001,0)</f>
        <v>Mag Armistead</v>
      </c>
      <c r="G523" s="2" t="str">
        <f>IF(_xlfn.XLOOKUP(C523,Customers!$A$2:$A$1001,Customers!$C$2:$C$1001)=0,"",_xlfn.XLOOKUP(C523,Customers!$A$2:$A$1001,Customers!$C$2:$C$1001))</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_xlfn.XLOOKUP(Orders[[#This Row],[Customer ID]],Customers!$A$2:$A$1001,Customers!$I$2:$I$1001,0)</f>
        <v>No</v>
      </c>
    </row>
    <row r="524" spans="1:16" x14ac:dyDescent="0.3">
      <c r="A524" s="2" t="s">
        <v>3441</v>
      </c>
      <c r="B524" s="3">
        <v>43625</v>
      </c>
      <c r="C524" s="2" t="s">
        <v>3442</v>
      </c>
      <c r="D524" t="s">
        <v>6146</v>
      </c>
      <c r="E524" s="2">
        <v>5</v>
      </c>
      <c r="F524" s="2" t="str">
        <f>_xlfn.XLOOKUP(C524,Customers!$A$2:$A$1001,Customers!$B$2:$B$1001,0)</f>
        <v>Vasili Upstone</v>
      </c>
      <c r="G524" s="2" t="str">
        <f>IF(_xlfn.XLOOKUP(C524,Customers!$A$2:$A$1001,Customers!$C$2:$C$1001)=0,"",_xlfn.XLOOKUP(C524,Customers!$A$2:$A$1001,Customers!$C$2:$C$1001))</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_xlfn.XLOOKUP(Orders[[#This Row],[Customer ID]],Customers!$A$2:$A$1001,Customers!$I$2:$I$1001,0)</f>
        <v>No</v>
      </c>
    </row>
    <row r="525" spans="1:16" x14ac:dyDescent="0.3">
      <c r="A525" s="2" t="s">
        <v>3447</v>
      </c>
      <c r="B525" s="3">
        <v>44129</v>
      </c>
      <c r="C525" s="2" t="s">
        <v>3448</v>
      </c>
      <c r="D525" t="s">
        <v>6165</v>
      </c>
      <c r="E525" s="2">
        <v>1</v>
      </c>
      <c r="F525" s="2" t="str">
        <f>_xlfn.XLOOKUP(C525,Customers!$A$2:$A$1001,Customers!$B$2:$B$1001,0)</f>
        <v>Berty Beelby</v>
      </c>
      <c r="G525" s="2" t="str">
        <f>IF(_xlfn.XLOOKUP(C525,Customers!$A$2:$A$1001,Customers!$C$2:$C$1001)=0,"",_xlfn.XLOOKUP(C525,Customers!$A$2:$A$1001,Customers!$C$2:$C$1001))</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_xlfn.XLOOKUP(Orders[[#This Row],[Customer ID]],Customers!$A$2:$A$1001,Customers!$I$2:$I$1001,0)</f>
        <v>No</v>
      </c>
    </row>
    <row r="526" spans="1:16" x14ac:dyDescent="0.3">
      <c r="A526" s="2" t="s">
        <v>3453</v>
      </c>
      <c r="B526" s="3">
        <v>44255</v>
      </c>
      <c r="C526" s="2" t="s">
        <v>3454</v>
      </c>
      <c r="D526" t="s">
        <v>6164</v>
      </c>
      <c r="E526" s="2">
        <v>2</v>
      </c>
      <c r="F526" s="2" t="str">
        <f>_xlfn.XLOOKUP(C526,Customers!$A$2:$A$1001,Customers!$B$2:$B$1001,0)</f>
        <v>Erny Stenyng</v>
      </c>
      <c r="G526" s="2" t="str">
        <f>IF(_xlfn.XLOOKUP(C526,Customers!$A$2:$A$1001,Customers!$C$2:$C$1001)=0,"",_xlfn.XLOOKUP(C526,Customers!$A$2:$A$1001,Customers!$C$2:$C$1001))</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_xlfn.XLOOKUP(Orders[[#This Row],[Customer ID]],Customers!$A$2:$A$1001,Customers!$I$2:$I$1001,0)</f>
        <v>No</v>
      </c>
    </row>
    <row r="527" spans="1:16" x14ac:dyDescent="0.3">
      <c r="A527" s="2" t="s">
        <v>3458</v>
      </c>
      <c r="B527" s="3">
        <v>44038</v>
      </c>
      <c r="C527" s="2" t="s">
        <v>3459</v>
      </c>
      <c r="D527" t="s">
        <v>6163</v>
      </c>
      <c r="E527" s="2">
        <v>5</v>
      </c>
      <c r="F527" s="2" t="str">
        <f>_xlfn.XLOOKUP(C527,Customers!$A$2:$A$1001,Customers!$B$2:$B$1001,0)</f>
        <v>Edin Yantsurev</v>
      </c>
      <c r="G527" s="2" t="str">
        <f>IF(_xlfn.XLOOKUP(C527,Customers!$A$2:$A$1001,Customers!$C$2:$C$1001)=0,"",_xlfn.XLOOKUP(C527,Customers!$A$2:$A$1001,Customers!$C$2:$C$1001))</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_xlfn.XLOOKUP(Orders[[#This Row],[Customer ID]],Customers!$A$2:$A$1001,Customers!$I$2:$I$1001,0)</f>
        <v>Yes</v>
      </c>
    </row>
    <row r="528" spans="1:16" x14ac:dyDescent="0.3">
      <c r="A528" s="2" t="s">
        <v>3463</v>
      </c>
      <c r="B528" s="3">
        <v>44717</v>
      </c>
      <c r="C528" s="2" t="s">
        <v>3464</v>
      </c>
      <c r="D528" t="s">
        <v>6166</v>
      </c>
      <c r="E528" s="2">
        <v>4</v>
      </c>
      <c r="F528" s="2" t="str">
        <f>_xlfn.XLOOKUP(C528,Customers!$A$2:$A$1001,Customers!$B$2:$B$1001,0)</f>
        <v>Webb Speechly</v>
      </c>
      <c r="G528" s="2" t="str">
        <f>IF(_xlfn.XLOOKUP(C528,Customers!$A$2:$A$1001,Customers!$C$2:$C$1001)=0,"",_xlfn.XLOOKUP(C528,Customers!$A$2:$A$1001,Customers!$C$2:$C$1001))</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_xlfn.XLOOKUP(Orders[[#This Row],[Customer ID]],Customers!$A$2:$A$1001,Customers!$I$2:$I$1001,0)</f>
        <v>Yes</v>
      </c>
    </row>
    <row r="529" spans="1:16" x14ac:dyDescent="0.3">
      <c r="A529" s="2" t="s">
        <v>3469</v>
      </c>
      <c r="B529" s="3">
        <v>43517</v>
      </c>
      <c r="C529" s="2" t="s">
        <v>3470</v>
      </c>
      <c r="D529" t="s">
        <v>6139</v>
      </c>
      <c r="E529" s="2">
        <v>5</v>
      </c>
      <c r="F529" s="2" t="str">
        <f>_xlfn.XLOOKUP(C529,Customers!$A$2:$A$1001,Customers!$B$2:$B$1001,0)</f>
        <v>Irvine Phillpot</v>
      </c>
      <c r="G529" s="2" t="str">
        <f>IF(_xlfn.XLOOKUP(C529,Customers!$A$2:$A$1001,Customers!$C$2:$C$1001)=0,"",_xlfn.XLOOKUP(C529,Customers!$A$2:$A$1001,Customers!$C$2:$C$1001))</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_xlfn.XLOOKUP(Orders[[#This Row],[Customer ID]],Customers!$A$2:$A$1001,Customers!$I$2:$I$1001,0)</f>
        <v>No</v>
      </c>
    </row>
    <row r="530" spans="1:16" x14ac:dyDescent="0.3">
      <c r="A530" s="2" t="s">
        <v>3475</v>
      </c>
      <c r="B530" s="3">
        <v>43926</v>
      </c>
      <c r="C530" s="2" t="s">
        <v>3476</v>
      </c>
      <c r="D530" t="s">
        <v>6176</v>
      </c>
      <c r="E530" s="2">
        <v>6</v>
      </c>
      <c r="F530" s="2" t="str">
        <f>_xlfn.XLOOKUP(C530,Customers!$A$2:$A$1001,Customers!$B$2:$B$1001,0)</f>
        <v>Lem Pennacci</v>
      </c>
      <c r="G530" s="2" t="str">
        <f>IF(_xlfn.XLOOKUP(C530,Customers!$A$2:$A$1001,Customers!$C$2:$C$1001)=0,"",_xlfn.XLOOKUP(C530,Customers!$A$2:$A$1001,Customers!$C$2:$C$1001))</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_xlfn.XLOOKUP(Orders[[#This Row],[Customer ID]],Customers!$A$2:$A$1001,Customers!$I$2:$I$1001,0)</f>
        <v>No</v>
      </c>
    </row>
    <row r="531" spans="1:16" x14ac:dyDescent="0.3">
      <c r="A531" s="2" t="s">
        <v>3481</v>
      </c>
      <c r="B531" s="3">
        <v>43475</v>
      </c>
      <c r="C531" s="2" t="s">
        <v>3482</v>
      </c>
      <c r="D531" t="s">
        <v>6138</v>
      </c>
      <c r="E531" s="2">
        <v>6</v>
      </c>
      <c r="F531" s="2" t="str">
        <f>_xlfn.XLOOKUP(C531,Customers!$A$2:$A$1001,Customers!$B$2:$B$1001,0)</f>
        <v>Starr Arpin</v>
      </c>
      <c r="G531" s="2" t="str">
        <f>IF(_xlfn.XLOOKUP(C531,Customers!$A$2:$A$1001,Customers!$C$2:$C$1001)=0,"",_xlfn.XLOOKUP(C531,Customers!$A$2:$A$1001,Customers!$C$2:$C$1001))</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_xlfn.XLOOKUP(Orders[[#This Row],[Customer ID]],Customers!$A$2:$A$1001,Customers!$I$2:$I$1001,0)</f>
        <v>No</v>
      </c>
    </row>
    <row r="532" spans="1:16" x14ac:dyDescent="0.3">
      <c r="A532" s="2" t="s">
        <v>3487</v>
      </c>
      <c r="B532" s="3">
        <v>44663</v>
      </c>
      <c r="C532" s="2" t="s">
        <v>3488</v>
      </c>
      <c r="D532" t="s">
        <v>6138</v>
      </c>
      <c r="E532" s="2">
        <v>6</v>
      </c>
      <c r="F532" s="2" t="str">
        <f>_xlfn.XLOOKUP(C532,Customers!$A$2:$A$1001,Customers!$B$2:$B$1001,0)</f>
        <v>Donny Fries</v>
      </c>
      <c r="G532" s="2" t="str">
        <f>IF(_xlfn.XLOOKUP(C532,Customers!$A$2:$A$1001,Customers!$C$2:$C$1001)=0,"",_xlfn.XLOOKUP(C532,Customers!$A$2:$A$1001,Customers!$C$2:$C$1001))</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_xlfn.XLOOKUP(Orders[[#This Row],[Customer ID]],Customers!$A$2:$A$1001,Customers!$I$2:$I$1001,0)</f>
        <v>No</v>
      </c>
    </row>
    <row r="533" spans="1:16" x14ac:dyDescent="0.3">
      <c r="A533" s="2" t="s">
        <v>3493</v>
      </c>
      <c r="B533" s="3">
        <v>44591</v>
      </c>
      <c r="C533" s="2" t="s">
        <v>3494</v>
      </c>
      <c r="D533" t="s">
        <v>6177</v>
      </c>
      <c r="E533" s="2">
        <v>5</v>
      </c>
      <c r="F533" s="2" t="str">
        <f>_xlfn.XLOOKUP(C533,Customers!$A$2:$A$1001,Customers!$B$2:$B$1001,0)</f>
        <v>Rana Sharer</v>
      </c>
      <c r="G533" s="2" t="str">
        <f>IF(_xlfn.XLOOKUP(C533,Customers!$A$2:$A$1001,Customers!$C$2:$C$1001)=0,"",_xlfn.XLOOKUP(C533,Customers!$A$2:$A$1001,Customers!$C$2:$C$1001))</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_xlfn.XLOOKUP(Orders[[#This Row],[Customer ID]],Customers!$A$2:$A$1001,Customers!$I$2:$I$1001,0)</f>
        <v>No</v>
      </c>
    </row>
    <row r="534" spans="1:16" x14ac:dyDescent="0.3">
      <c r="A534" s="2" t="s">
        <v>3499</v>
      </c>
      <c r="B534" s="3">
        <v>44330</v>
      </c>
      <c r="C534" s="2" t="s">
        <v>3500</v>
      </c>
      <c r="D534" t="s">
        <v>6139</v>
      </c>
      <c r="E534" s="2">
        <v>2</v>
      </c>
      <c r="F534" s="2" t="str">
        <f>_xlfn.XLOOKUP(C534,Customers!$A$2:$A$1001,Customers!$B$2:$B$1001,0)</f>
        <v>Nannie Naseby</v>
      </c>
      <c r="G534" s="2" t="str">
        <f>IF(_xlfn.XLOOKUP(C534,Customers!$A$2:$A$1001,Customers!$C$2:$C$1001)=0,"",_xlfn.XLOOKUP(C534,Customers!$A$2:$A$1001,Customers!$C$2:$C$1001))</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_xlfn.XLOOKUP(Orders[[#This Row],[Customer ID]],Customers!$A$2:$A$1001,Customers!$I$2:$I$1001,0)</f>
        <v>Yes</v>
      </c>
    </row>
    <row r="535" spans="1:16" x14ac:dyDescent="0.3">
      <c r="A535" s="2" t="s">
        <v>3505</v>
      </c>
      <c r="B535" s="3">
        <v>44724</v>
      </c>
      <c r="C535" s="2" t="s">
        <v>3506</v>
      </c>
      <c r="D535" t="s">
        <v>6172</v>
      </c>
      <c r="E535" s="2">
        <v>4</v>
      </c>
      <c r="F535" s="2" t="str">
        <f>_xlfn.XLOOKUP(C535,Customers!$A$2:$A$1001,Customers!$B$2:$B$1001,0)</f>
        <v>Rea Offell</v>
      </c>
      <c r="G535" s="2" t="str">
        <f>IF(_xlfn.XLOOKUP(C535,Customers!$A$2:$A$1001,Customers!$C$2:$C$1001)=0,"",_xlfn.XLOOKUP(C535,Customers!$A$2:$A$1001,Customers!$C$2:$C$1001))</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_xlfn.XLOOKUP(Orders[[#This Row],[Customer ID]],Customers!$A$2:$A$1001,Customers!$I$2:$I$1001,0)</f>
        <v>No</v>
      </c>
    </row>
    <row r="536" spans="1:16" x14ac:dyDescent="0.3">
      <c r="A536" s="2" t="s">
        <v>3510</v>
      </c>
      <c r="B536" s="3">
        <v>44563</v>
      </c>
      <c r="C536" s="2" t="s">
        <v>3511</v>
      </c>
      <c r="D536" t="s">
        <v>6151</v>
      </c>
      <c r="E536" s="2">
        <v>2</v>
      </c>
      <c r="F536" s="2" t="str">
        <f>_xlfn.XLOOKUP(C536,Customers!$A$2:$A$1001,Customers!$B$2:$B$1001,0)</f>
        <v>Kris O'Cullen</v>
      </c>
      <c r="G536" s="2" t="str">
        <f>IF(_xlfn.XLOOKUP(C536,Customers!$A$2:$A$1001,Customers!$C$2:$C$1001)=0,"",_xlfn.XLOOKUP(C536,Customers!$A$2:$A$1001,Customers!$C$2:$C$1001))</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_xlfn.XLOOKUP(Orders[[#This Row],[Customer ID]],Customers!$A$2:$A$1001,Customers!$I$2:$I$1001,0)</f>
        <v>Yes</v>
      </c>
    </row>
    <row r="537" spans="1:16" x14ac:dyDescent="0.3">
      <c r="A537" s="2" t="s">
        <v>3516</v>
      </c>
      <c r="B537" s="3">
        <v>44585</v>
      </c>
      <c r="C537" s="2" t="s">
        <v>3517</v>
      </c>
      <c r="D537" t="s">
        <v>6145</v>
      </c>
      <c r="E537" s="2">
        <v>2</v>
      </c>
      <c r="F537" s="2" t="str">
        <f>_xlfn.XLOOKUP(C537,Customers!$A$2:$A$1001,Customers!$B$2:$B$1001,0)</f>
        <v>Timoteo Glisane</v>
      </c>
      <c r="G537" s="2" t="str">
        <f>IF(_xlfn.XLOOKUP(C537,Customers!$A$2:$A$1001,Customers!$C$2:$C$1001)=0,"",_xlfn.XLOOKUP(C537,Customers!$A$2:$A$1001,Customers!$C$2:$C$1001))</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_xlfn.XLOOKUP(Orders[[#This Row],[Customer ID]],Customers!$A$2:$A$1001,Customers!$I$2:$I$1001,0)</f>
        <v>No</v>
      </c>
    </row>
    <row r="538" spans="1:16" x14ac:dyDescent="0.3">
      <c r="A538" s="2" t="s">
        <v>3521</v>
      </c>
      <c r="B538" s="3">
        <v>43544</v>
      </c>
      <c r="C538" s="2" t="s">
        <v>3368</v>
      </c>
      <c r="D538" t="s">
        <v>6163</v>
      </c>
      <c r="E538" s="2">
        <v>3</v>
      </c>
      <c r="F538" s="2" t="str">
        <f>_xlfn.XLOOKUP(C538,Customers!$A$2:$A$1001,Customers!$B$2:$B$1001,0)</f>
        <v>Marja Urion</v>
      </c>
      <c r="G538" s="2" t="str">
        <f>IF(_xlfn.XLOOKUP(C538,Customers!$A$2:$A$1001,Customers!$C$2:$C$1001)=0,"",_xlfn.XLOOKUP(C538,Customers!$A$2:$A$1001,Customers!$C$2:$C$1001))</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_xlfn.XLOOKUP(Orders[[#This Row],[Customer ID]],Customers!$A$2:$A$1001,Customers!$I$2:$I$1001,0)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IF(_xlfn.XLOOKUP(C539,Customers!$A$2:$A$1001,Customers!$C$2:$C$1001)=0,"",_xlfn.XLOOKUP(C539,Customers!$A$2:$A$1001,Customers!$C$2:$C$1001))</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_xlfn.XLOOKUP(Orders[[#This Row],[Customer ID]],Customers!$A$2:$A$1001,Customers!$I$2:$I$1001,0)</f>
        <v>Yes</v>
      </c>
    </row>
    <row r="540" spans="1:16" x14ac:dyDescent="0.3">
      <c r="A540" s="2" t="s">
        <v>3532</v>
      </c>
      <c r="B540" s="3">
        <v>44482</v>
      </c>
      <c r="C540" s="2" t="s">
        <v>3533</v>
      </c>
      <c r="D540" t="s">
        <v>6163</v>
      </c>
      <c r="E540" s="2">
        <v>4</v>
      </c>
      <c r="F540" s="2" t="str">
        <f>_xlfn.XLOOKUP(C540,Customers!$A$2:$A$1001,Customers!$B$2:$B$1001,0)</f>
        <v>Amii Gallyon</v>
      </c>
      <c r="G540" s="2" t="str">
        <f>IF(_xlfn.XLOOKUP(C540,Customers!$A$2:$A$1001,Customers!$C$2:$C$1001)=0,"",_xlfn.XLOOKUP(C540,Customers!$A$2:$A$1001,Customers!$C$2:$C$1001))</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_xlfn.XLOOKUP(Orders[[#This Row],[Customer ID]],Customers!$A$2:$A$1001,Customers!$I$2:$I$1001,0)</f>
        <v>Yes</v>
      </c>
    </row>
    <row r="541" spans="1:16" x14ac:dyDescent="0.3">
      <c r="A541" s="2" t="s">
        <v>3537</v>
      </c>
      <c r="B541" s="3">
        <v>44488</v>
      </c>
      <c r="C541" s="2" t="s">
        <v>3538</v>
      </c>
      <c r="D541" t="s">
        <v>6172</v>
      </c>
      <c r="E541" s="2">
        <v>5</v>
      </c>
      <c r="F541" s="2" t="str">
        <f>_xlfn.XLOOKUP(C541,Customers!$A$2:$A$1001,Customers!$B$2:$B$1001,0)</f>
        <v>Birgit Domange</v>
      </c>
      <c r="G541" s="2" t="str">
        <f>IF(_xlfn.XLOOKUP(C541,Customers!$A$2:$A$1001,Customers!$C$2:$C$1001)=0,"",_xlfn.XLOOKUP(C541,Customers!$A$2:$A$1001,Customers!$C$2:$C$1001))</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_xlfn.XLOOKUP(Orders[[#This Row],[Customer ID]],Customers!$A$2:$A$1001,Customers!$I$2:$I$1001,0)</f>
        <v>No</v>
      </c>
    </row>
    <row r="542" spans="1:16" x14ac:dyDescent="0.3">
      <c r="A542" s="2" t="s">
        <v>3542</v>
      </c>
      <c r="B542" s="3">
        <v>43584</v>
      </c>
      <c r="C542" s="2" t="s">
        <v>3543</v>
      </c>
      <c r="D542" t="s">
        <v>6170</v>
      </c>
      <c r="E542" s="2">
        <v>4</v>
      </c>
      <c r="F542" s="2" t="str">
        <f>_xlfn.XLOOKUP(C542,Customers!$A$2:$A$1001,Customers!$B$2:$B$1001,0)</f>
        <v>Killian Osler</v>
      </c>
      <c r="G542" s="2" t="str">
        <f>IF(_xlfn.XLOOKUP(C542,Customers!$A$2:$A$1001,Customers!$C$2:$C$1001)=0,"",_xlfn.XLOOKUP(C542,Customers!$A$2:$A$1001,Customers!$C$2:$C$1001))</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_xlfn.XLOOKUP(Orders[[#This Row],[Customer ID]],Customers!$A$2:$A$1001,Customers!$I$2:$I$1001,0)</f>
        <v>Yes</v>
      </c>
    </row>
    <row r="543" spans="1:16" x14ac:dyDescent="0.3">
      <c r="A543" s="2" t="s">
        <v>3548</v>
      </c>
      <c r="B543" s="3">
        <v>43750</v>
      </c>
      <c r="C543" s="2" t="s">
        <v>3549</v>
      </c>
      <c r="D543" t="s">
        <v>6168</v>
      </c>
      <c r="E543" s="2">
        <v>1</v>
      </c>
      <c r="F543" s="2" t="str">
        <f>_xlfn.XLOOKUP(C543,Customers!$A$2:$A$1001,Customers!$B$2:$B$1001,0)</f>
        <v>Lora Dukes</v>
      </c>
      <c r="G543" s="2" t="str">
        <f>IF(_xlfn.XLOOKUP(C543,Customers!$A$2:$A$1001,Customers!$C$2:$C$1001)=0,"",_xlfn.XLOOKUP(C543,Customers!$A$2:$A$1001,Customers!$C$2:$C$1001))</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_xlfn.XLOOKUP(Orders[[#This Row],[Customer ID]],Customers!$A$2:$A$1001,Customers!$I$2:$I$1001,0)</f>
        <v>Yes</v>
      </c>
    </row>
    <row r="544" spans="1:16" x14ac:dyDescent="0.3">
      <c r="A544" s="2" t="s">
        <v>3553</v>
      </c>
      <c r="B544" s="3">
        <v>44335</v>
      </c>
      <c r="C544" s="2" t="s">
        <v>3554</v>
      </c>
      <c r="D544" t="s">
        <v>6175</v>
      </c>
      <c r="E544" s="2">
        <v>4</v>
      </c>
      <c r="F544" s="2" t="str">
        <f>_xlfn.XLOOKUP(C544,Customers!$A$2:$A$1001,Customers!$B$2:$B$1001,0)</f>
        <v>Zack Pellett</v>
      </c>
      <c r="G544" s="2" t="str">
        <f>IF(_xlfn.XLOOKUP(C544,Customers!$A$2:$A$1001,Customers!$C$2:$C$1001)=0,"",_xlfn.XLOOKUP(C544,Customers!$A$2:$A$1001,Customers!$C$2:$C$1001))</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_xlfn.XLOOKUP(Orders[[#This Row],[Customer ID]],Customers!$A$2:$A$1001,Customers!$I$2:$I$1001,0)</f>
        <v>No</v>
      </c>
    </row>
    <row r="545" spans="1:16" x14ac:dyDescent="0.3">
      <c r="A545" s="2" t="s">
        <v>3559</v>
      </c>
      <c r="B545" s="3">
        <v>44380</v>
      </c>
      <c r="C545" s="2" t="s">
        <v>3560</v>
      </c>
      <c r="D545" t="s">
        <v>6142</v>
      </c>
      <c r="E545" s="2">
        <v>2</v>
      </c>
      <c r="F545" s="2" t="str">
        <f>_xlfn.XLOOKUP(C545,Customers!$A$2:$A$1001,Customers!$B$2:$B$1001,0)</f>
        <v>Ilaire Sprakes</v>
      </c>
      <c r="G545" s="2" t="str">
        <f>IF(_xlfn.XLOOKUP(C545,Customers!$A$2:$A$1001,Customers!$C$2:$C$1001)=0,"",_xlfn.XLOOKUP(C545,Customers!$A$2:$A$1001,Customers!$C$2:$C$1001))</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_xlfn.XLOOKUP(Orders[[#This Row],[Customer ID]],Customers!$A$2:$A$1001,Customers!$I$2:$I$1001,0)</f>
        <v>No</v>
      </c>
    </row>
    <row r="546" spans="1:16" x14ac:dyDescent="0.3">
      <c r="A546" s="2" t="s">
        <v>3565</v>
      </c>
      <c r="B546" s="3">
        <v>43869</v>
      </c>
      <c r="C546" s="2" t="s">
        <v>3566</v>
      </c>
      <c r="D546" t="s">
        <v>6180</v>
      </c>
      <c r="E546" s="2">
        <v>2</v>
      </c>
      <c r="F546" s="2" t="str">
        <f>_xlfn.XLOOKUP(C546,Customers!$A$2:$A$1001,Customers!$B$2:$B$1001,0)</f>
        <v>Heda Fromant</v>
      </c>
      <c r="G546" s="2" t="str">
        <f>IF(_xlfn.XLOOKUP(C546,Customers!$A$2:$A$1001,Customers!$C$2:$C$1001)=0,"",_xlfn.XLOOKUP(C546,Customers!$A$2:$A$1001,Customers!$C$2:$C$1001))</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_xlfn.XLOOKUP(Orders[[#This Row],[Customer ID]],Customers!$A$2:$A$1001,Customers!$I$2:$I$1001,0)</f>
        <v>No</v>
      </c>
    </row>
    <row r="547" spans="1:16" x14ac:dyDescent="0.3">
      <c r="A547" s="2" t="s">
        <v>3571</v>
      </c>
      <c r="B547" s="3">
        <v>44120</v>
      </c>
      <c r="C547" s="2" t="s">
        <v>3572</v>
      </c>
      <c r="D547" t="s">
        <v>6150</v>
      </c>
      <c r="E547" s="2">
        <v>4</v>
      </c>
      <c r="F547" s="2" t="str">
        <f>_xlfn.XLOOKUP(C547,Customers!$A$2:$A$1001,Customers!$B$2:$B$1001,0)</f>
        <v>Rufus Flear</v>
      </c>
      <c r="G547" s="2" t="str">
        <f>IF(_xlfn.XLOOKUP(C547,Customers!$A$2:$A$1001,Customers!$C$2:$C$1001)=0,"",_xlfn.XLOOKUP(C547,Customers!$A$2:$A$1001,Customers!$C$2:$C$1001))</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_xlfn.XLOOKUP(Orders[[#This Row],[Customer ID]],Customers!$A$2:$A$1001,Customers!$I$2:$I$1001,0)</f>
        <v>No</v>
      </c>
    </row>
    <row r="548" spans="1:16" x14ac:dyDescent="0.3">
      <c r="A548" s="2" t="s">
        <v>3577</v>
      </c>
      <c r="B548" s="3">
        <v>44127</v>
      </c>
      <c r="C548" s="2" t="s">
        <v>3578</v>
      </c>
      <c r="D548" t="s">
        <v>6185</v>
      </c>
      <c r="E548" s="2">
        <v>3</v>
      </c>
      <c r="F548" s="2" t="str">
        <f>_xlfn.XLOOKUP(C548,Customers!$A$2:$A$1001,Customers!$B$2:$B$1001,0)</f>
        <v>Dom Milella</v>
      </c>
      <c r="G548" s="2" t="str">
        <f>IF(_xlfn.XLOOKUP(C548,Customers!$A$2:$A$1001,Customers!$C$2:$C$1001)=0,"",_xlfn.XLOOKUP(C548,Customers!$A$2:$A$1001,Customers!$C$2:$C$1001))</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_xlfn.XLOOKUP(Orders[[#This Row],[Customer ID]],Customers!$A$2:$A$1001,Customers!$I$2:$I$1001,0)</f>
        <v>No</v>
      </c>
    </row>
    <row r="549" spans="1:16" x14ac:dyDescent="0.3">
      <c r="A549" s="2" t="s">
        <v>3582</v>
      </c>
      <c r="B549" s="3">
        <v>44265</v>
      </c>
      <c r="C549" s="2" t="s">
        <v>3594</v>
      </c>
      <c r="D549" t="s">
        <v>6178</v>
      </c>
      <c r="E549" s="2">
        <v>3</v>
      </c>
      <c r="F549" s="2" t="str">
        <f>_xlfn.XLOOKUP(C549,Customers!$A$2:$A$1001,Customers!$B$2:$B$1001,0)</f>
        <v>Wilek Lightollers</v>
      </c>
      <c r="G549" s="2" t="str">
        <f>IF(_xlfn.XLOOKUP(C549,Customers!$A$2:$A$1001,Customers!$C$2:$C$1001)=0,"",_xlfn.XLOOKUP(C549,Customers!$A$2:$A$1001,Customers!$C$2:$C$1001))</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_xlfn.XLOOKUP(Orders[[#This Row],[Customer ID]],Customers!$A$2:$A$1001,Customers!$I$2:$I$1001,0)</f>
        <v>Yes</v>
      </c>
    </row>
    <row r="550" spans="1:16" x14ac:dyDescent="0.3">
      <c r="A550" s="2" t="s">
        <v>3587</v>
      </c>
      <c r="B550" s="3">
        <v>44384</v>
      </c>
      <c r="C550" s="2" t="s">
        <v>3588</v>
      </c>
      <c r="D550" t="s">
        <v>6184</v>
      </c>
      <c r="E550" s="2">
        <v>3</v>
      </c>
      <c r="F550" s="2" t="str">
        <f>_xlfn.XLOOKUP(C550,Customers!$A$2:$A$1001,Customers!$B$2:$B$1001,0)</f>
        <v>Bette-ann Munden</v>
      </c>
      <c r="G550" s="2" t="str">
        <f>IF(_xlfn.XLOOKUP(C550,Customers!$A$2:$A$1001,Customers!$C$2:$C$1001)=0,"",_xlfn.XLOOKUP(C550,Customers!$A$2:$A$1001,Customers!$C$2:$C$1001))</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_xlfn.XLOOKUP(Orders[[#This Row],[Customer ID]],Customers!$A$2:$A$1001,Customers!$I$2:$I$1001,0)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IF(_xlfn.XLOOKUP(C551,Customers!$A$2:$A$1001,Customers!$C$2:$C$1001)=0,"",_xlfn.XLOOKUP(C551,Customers!$A$2:$A$1001,Customers!$C$2:$C$1001))</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_xlfn.XLOOKUP(Orders[[#This Row],[Customer ID]],Customers!$A$2:$A$1001,Customers!$I$2:$I$1001,0)</f>
        <v>Yes</v>
      </c>
    </row>
    <row r="552" spans="1:16" x14ac:dyDescent="0.3">
      <c r="A552" s="2" t="s">
        <v>3599</v>
      </c>
      <c r="B552" s="3">
        <v>44176</v>
      </c>
      <c r="C552" s="2" t="s">
        <v>3600</v>
      </c>
      <c r="D552" t="s">
        <v>6150</v>
      </c>
      <c r="E552" s="2">
        <v>6</v>
      </c>
      <c r="F552" s="2" t="str">
        <f>_xlfn.XLOOKUP(C552,Customers!$A$2:$A$1001,Customers!$B$2:$B$1001,0)</f>
        <v>Nick Brakespear</v>
      </c>
      <c r="G552" s="2" t="str">
        <f>IF(_xlfn.XLOOKUP(C552,Customers!$A$2:$A$1001,Customers!$C$2:$C$1001)=0,"",_xlfn.XLOOKUP(C552,Customers!$A$2:$A$1001,Customers!$C$2:$C$1001))</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_xlfn.XLOOKUP(Orders[[#This Row],[Customer ID]],Customers!$A$2:$A$1001,Customers!$I$2:$I$1001,0)</f>
        <v>Yes</v>
      </c>
    </row>
    <row r="553" spans="1:16" x14ac:dyDescent="0.3">
      <c r="A553" s="2" t="s">
        <v>3605</v>
      </c>
      <c r="B553" s="3">
        <v>44694</v>
      </c>
      <c r="C553" s="2" t="s">
        <v>3606</v>
      </c>
      <c r="D553" t="s">
        <v>6153</v>
      </c>
      <c r="E553" s="2">
        <v>2</v>
      </c>
      <c r="F553" s="2" t="str">
        <f>_xlfn.XLOOKUP(C553,Customers!$A$2:$A$1001,Customers!$B$2:$B$1001,0)</f>
        <v>Malynda Glawsop</v>
      </c>
      <c r="G553" s="2" t="str">
        <f>IF(_xlfn.XLOOKUP(C553,Customers!$A$2:$A$1001,Customers!$C$2:$C$1001)=0,"",_xlfn.XLOOKUP(C553,Customers!$A$2:$A$1001,Customers!$C$2:$C$1001))</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_xlfn.XLOOKUP(Orders[[#This Row],[Customer ID]],Customers!$A$2:$A$1001,Customers!$I$2:$I$1001,0)</f>
        <v>No</v>
      </c>
    </row>
    <row r="554" spans="1:16" x14ac:dyDescent="0.3">
      <c r="A554" s="2" t="s">
        <v>3611</v>
      </c>
      <c r="B554" s="3">
        <v>43761</v>
      </c>
      <c r="C554" s="2" t="s">
        <v>3612</v>
      </c>
      <c r="D554" t="s">
        <v>6184</v>
      </c>
      <c r="E554" s="2">
        <v>4</v>
      </c>
      <c r="F554" s="2" t="str">
        <f>_xlfn.XLOOKUP(C554,Customers!$A$2:$A$1001,Customers!$B$2:$B$1001,0)</f>
        <v>Granville Alberts</v>
      </c>
      <c r="G554" s="2" t="str">
        <f>IF(_xlfn.XLOOKUP(C554,Customers!$A$2:$A$1001,Customers!$C$2:$C$1001)=0,"",_xlfn.XLOOKUP(C554,Customers!$A$2:$A$1001,Customers!$C$2:$C$1001))</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_xlfn.XLOOKUP(Orders[[#This Row],[Customer ID]],Customers!$A$2:$A$1001,Customers!$I$2:$I$1001,0)</f>
        <v>Yes</v>
      </c>
    </row>
    <row r="555" spans="1:16" x14ac:dyDescent="0.3">
      <c r="A555" s="2" t="s">
        <v>3617</v>
      </c>
      <c r="B555" s="3">
        <v>44085</v>
      </c>
      <c r="C555" s="2" t="s">
        <v>3618</v>
      </c>
      <c r="D555" t="s">
        <v>6141</v>
      </c>
      <c r="E555" s="2">
        <v>5</v>
      </c>
      <c r="F555" s="2" t="str">
        <f>_xlfn.XLOOKUP(C555,Customers!$A$2:$A$1001,Customers!$B$2:$B$1001,0)</f>
        <v>Vasily Polglase</v>
      </c>
      <c r="G555" s="2" t="str">
        <f>IF(_xlfn.XLOOKUP(C555,Customers!$A$2:$A$1001,Customers!$C$2:$C$1001)=0,"",_xlfn.XLOOKUP(C555,Customers!$A$2:$A$1001,Customers!$C$2:$C$1001))</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_xlfn.XLOOKUP(Orders[[#This Row],[Customer ID]],Customers!$A$2:$A$1001,Customers!$I$2:$I$1001,0)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IF(_xlfn.XLOOKUP(C556,Customers!$A$2:$A$1001,Customers!$C$2:$C$1001)=0,"",_xlfn.XLOOKUP(C556,Customers!$A$2:$A$1001,Customers!$C$2:$C$1001))</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_xlfn.XLOOKUP(Orders[[#This Row],[Customer ID]],Customers!$A$2:$A$1001,Customers!$I$2:$I$1001,0)</f>
        <v>Yes</v>
      </c>
    </row>
    <row r="557" spans="1:16" x14ac:dyDescent="0.3">
      <c r="A557" s="2" t="s">
        <v>3627</v>
      </c>
      <c r="B557" s="3">
        <v>44258</v>
      </c>
      <c r="C557" s="2" t="s">
        <v>3628</v>
      </c>
      <c r="D557" t="s">
        <v>6141</v>
      </c>
      <c r="E557" s="2">
        <v>6</v>
      </c>
      <c r="F557" s="2" t="str">
        <f>_xlfn.XLOOKUP(C557,Customers!$A$2:$A$1001,Customers!$B$2:$B$1001,0)</f>
        <v>Sigfrid Busch</v>
      </c>
      <c r="G557" s="2" t="str">
        <f>IF(_xlfn.XLOOKUP(C557,Customers!$A$2:$A$1001,Customers!$C$2:$C$1001)=0,"",_xlfn.XLOOKUP(C557,Customers!$A$2:$A$1001,Customers!$C$2:$C$1001))</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_xlfn.XLOOKUP(Orders[[#This Row],[Customer ID]],Customers!$A$2:$A$1001,Customers!$I$2:$I$1001,0)</f>
        <v>No</v>
      </c>
    </row>
    <row r="558" spans="1:16" x14ac:dyDescent="0.3">
      <c r="A558" s="2" t="s">
        <v>3633</v>
      </c>
      <c r="B558" s="3">
        <v>44523</v>
      </c>
      <c r="C558" s="2" t="s">
        <v>3634</v>
      </c>
      <c r="D558" t="s">
        <v>6159</v>
      </c>
      <c r="E558" s="2">
        <v>2</v>
      </c>
      <c r="F558" s="2" t="str">
        <f>_xlfn.XLOOKUP(C558,Customers!$A$2:$A$1001,Customers!$B$2:$B$1001,0)</f>
        <v>Cissiee Raisbeck</v>
      </c>
      <c r="G558" s="2" t="str">
        <f>IF(_xlfn.XLOOKUP(C558,Customers!$A$2:$A$1001,Customers!$C$2:$C$1001)=0,"",_xlfn.XLOOKUP(C558,Customers!$A$2:$A$1001,Customers!$C$2:$C$1001))</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_xlfn.XLOOKUP(Orders[[#This Row],[Customer ID]],Customers!$A$2:$A$1001,Customers!$I$2:$I$1001,0)</f>
        <v>Yes</v>
      </c>
    </row>
    <row r="559" spans="1:16" x14ac:dyDescent="0.3">
      <c r="A559" s="2" t="s">
        <v>3638</v>
      </c>
      <c r="B559" s="3">
        <v>44506</v>
      </c>
      <c r="C559" s="2" t="s">
        <v>3368</v>
      </c>
      <c r="D559" t="s">
        <v>6171</v>
      </c>
      <c r="E559" s="2">
        <v>4</v>
      </c>
      <c r="F559" s="2" t="str">
        <f>_xlfn.XLOOKUP(C559,Customers!$A$2:$A$1001,Customers!$B$2:$B$1001,0)</f>
        <v>Marja Urion</v>
      </c>
      <c r="G559" s="2" t="str">
        <f>IF(_xlfn.XLOOKUP(C559,Customers!$A$2:$A$1001,Customers!$C$2:$C$1001)=0,"",_xlfn.XLOOKUP(C559,Customers!$A$2:$A$1001,Customers!$C$2:$C$1001))</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_xlfn.XLOOKUP(Orders[[#This Row],[Customer ID]],Customers!$A$2:$A$1001,Customers!$I$2:$I$1001,0)</f>
        <v>Yes</v>
      </c>
    </row>
    <row r="560" spans="1:16" x14ac:dyDescent="0.3">
      <c r="A560" s="2" t="s">
        <v>3643</v>
      </c>
      <c r="B560" s="3">
        <v>44225</v>
      </c>
      <c r="C560" s="2" t="s">
        <v>3644</v>
      </c>
      <c r="D560" t="s">
        <v>6150</v>
      </c>
      <c r="E560" s="2">
        <v>4</v>
      </c>
      <c r="F560" s="2" t="str">
        <f>_xlfn.XLOOKUP(C560,Customers!$A$2:$A$1001,Customers!$B$2:$B$1001,0)</f>
        <v>Kenton Wetherick</v>
      </c>
      <c r="G560" s="2" t="str">
        <f>IF(_xlfn.XLOOKUP(C560,Customers!$A$2:$A$1001,Customers!$C$2:$C$1001)=0,"",_xlfn.XLOOKUP(C560,Customers!$A$2:$A$1001,Customers!$C$2:$C$1001))</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_xlfn.XLOOKUP(Orders[[#This Row],[Customer ID]],Customers!$A$2:$A$1001,Customers!$I$2:$I$1001,0)</f>
        <v>Yes</v>
      </c>
    </row>
    <row r="561" spans="1:16" x14ac:dyDescent="0.3">
      <c r="A561" s="2" t="s">
        <v>3648</v>
      </c>
      <c r="B561" s="3">
        <v>44667</v>
      </c>
      <c r="C561" s="2" t="s">
        <v>3649</v>
      </c>
      <c r="D561" t="s">
        <v>6140</v>
      </c>
      <c r="E561" s="2">
        <v>3</v>
      </c>
      <c r="F561" s="2" t="str">
        <f>_xlfn.XLOOKUP(C561,Customers!$A$2:$A$1001,Customers!$B$2:$B$1001,0)</f>
        <v>Reamonn Aynold</v>
      </c>
      <c r="G561" s="2" t="str">
        <f>IF(_xlfn.XLOOKUP(C561,Customers!$A$2:$A$1001,Customers!$C$2:$C$1001)=0,"",_xlfn.XLOOKUP(C561,Customers!$A$2:$A$1001,Customers!$C$2:$C$1001))</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_xlfn.XLOOKUP(Orders[[#This Row],[Customer ID]],Customers!$A$2:$A$1001,Customers!$I$2:$I$1001,0)</f>
        <v>Yes</v>
      </c>
    </row>
    <row r="562" spans="1:16" x14ac:dyDescent="0.3">
      <c r="A562" s="2" t="s">
        <v>3654</v>
      </c>
      <c r="B562" s="3">
        <v>44401</v>
      </c>
      <c r="C562" s="2" t="s">
        <v>3655</v>
      </c>
      <c r="D562" t="s">
        <v>6166</v>
      </c>
      <c r="E562" s="2">
        <v>6</v>
      </c>
      <c r="F562" s="2" t="str">
        <f>_xlfn.XLOOKUP(C562,Customers!$A$2:$A$1001,Customers!$B$2:$B$1001,0)</f>
        <v>Hatty Dovydenas</v>
      </c>
      <c r="G562" s="2" t="str">
        <f>IF(_xlfn.XLOOKUP(C562,Customers!$A$2:$A$1001,Customers!$C$2:$C$1001)=0,"",_xlfn.XLOOKUP(C562,Customers!$A$2:$A$1001,Customers!$C$2:$C$1001))</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_xlfn.XLOOKUP(Orders[[#This Row],[Customer ID]],Customers!$A$2:$A$1001,Customers!$I$2:$I$1001,0)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IF(_xlfn.XLOOKUP(C563,Customers!$A$2:$A$1001,Customers!$C$2:$C$1001)=0,"",_xlfn.XLOOKUP(C563,Customers!$A$2:$A$1001,Customers!$C$2:$C$1001))</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_xlfn.XLOOKUP(Orders[[#This Row],[Customer ID]],Customers!$A$2:$A$1001,Customers!$I$2:$I$1001,0)</f>
        <v>Yes</v>
      </c>
    </row>
    <row r="564" spans="1:16" x14ac:dyDescent="0.3">
      <c r="A564" s="2" t="s">
        <v>3665</v>
      </c>
      <c r="B564" s="3">
        <v>43669</v>
      </c>
      <c r="C564" s="2" t="s">
        <v>3666</v>
      </c>
      <c r="D564" t="s">
        <v>6145</v>
      </c>
      <c r="E564" s="2">
        <v>6</v>
      </c>
      <c r="F564" s="2" t="str">
        <f>_xlfn.XLOOKUP(C564,Customers!$A$2:$A$1001,Customers!$B$2:$B$1001,0)</f>
        <v>Brendan Grece</v>
      </c>
      <c r="G564" s="2" t="str">
        <f>IF(_xlfn.XLOOKUP(C564,Customers!$A$2:$A$1001,Customers!$C$2:$C$1001)=0,"",_xlfn.XLOOKUP(C564,Customers!$A$2:$A$1001,Customers!$C$2:$C$1001))</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_xlfn.XLOOKUP(Orders[[#This Row],[Customer ID]],Customers!$A$2:$A$1001,Customers!$I$2:$I$1001,0)</f>
        <v>No</v>
      </c>
    </row>
    <row r="565" spans="1:16" x14ac:dyDescent="0.3">
      <c r="A565" s="2" t="s">
        <v>3671</v>
      </c>
      <c r="B565" s="3">
        <v>43991</v>
      </c>
      <c r="C565" s="2" t="s">
        <v>3752</v>
      </c>
      <c r="D565" t="s">
        <v>6141</v>
      </c>
      <c r="E565" s="2">
        <v>6</v>
      </c>
      <c r="F565" s="2" t="str">
        <f>_xlfn.XLOOKUP(C565,Customers!$A$2:$A$1001,Customers!$B$2:$B$1001,0)</f>
        <v>Don Flintiff</v>
      </c>
      <c r="G565" s="2" t="str">
        <f>IF(_xlfn.XLOOKUP(C565,Customers!$A$2:$A$1001,Customers!$C$2:$C$1001)=0,"",_xlfn.XLOOKUP(C565,Customers!$A$2:$A$1001,Customers!$C$2:$C$1001))</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_xlfn.XLOOKUP(Orders[[#This Row],[Customer ID]],Customers!$A$2:$A$1001,Customers!$I$2:$I$1001,0)</f>
        <v>No</v>
      </c>
    </row>
    <row r="566" spans="1:16" x14ac:dyDescent="0.3">
      <c r="A566" s="2" t="s">
        <v>3677</v>
      </c>
      <c r="B566" s="3">
        <v>43883</v>
      </c>
      <c r="C566" s="2" t="s">
        <v>3678</v>
      </c>
      <c r="D566" t="s">
        <v>6173</v>
      </c>
      <c r="E566" s="2">
        <v>2</v>
      </c>
      <c r="F566" s="2" t="str">
        <f>_xlfn.XLOOKUP(C566,Customers!$A$2:$A$1001,Customers!$B$2:$B$1001,0)</f>
        <v>Abbe Thys</v>
      </c>
      <c r="G566" s="2" t="str">
        <f>IF(_xlfn.XLOOKUP(C566,Customers!$A$2:$A$1001,Customers!$C$2:$C$1001)=0,"",_xlfn.XLOOKUP(C566,Customers!$A$2:$A$1001,Customers!$C$2:$C$1001))</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_xlfn.XLOOKUP(Orders[[#This Row],[Customer ID]],Customers!$A$2:$A$1001,Customers!$I$2:$I$1001,0)</f>
        <v>No</v>
      </c>
    </row>
    <row r="567" spans="1:16" x14ac:dyDescent="0.3">
      <c r="A567" s="2" t="s">
        <v>3683</v>
      </c>
      <c r="B567" s="3">
        <v>44031</v>
      </c>
      <c r="C567" s="2" t="s">
        <v>3684</v>
      </c>
      <c r="D567" t="s">
        <v>6149</v>
      </c>
      <c r="E567" s="2">
        <v>4</v>
      </c>
      <c r="F567" s="2" t="str">
        <f>_xlfn.XLOOKUP(C567,Customers!$A$2:$A$1001,Customers!$B$2:$B$1001,0)</f>
        <v>Jackquelin Chugg</v>
      </c>
      <c r="G567" s="2" t="str">
        <f>IF(_xlfn.XLOOKUP(C567,Customers!$A$2:$A$1001,Customers!$C$2:$C$1001)=0,"",_xlfn.XLOOKUP(C567,Customers!$A$2:$A$1001,Customers!$C$2:$C$1001))</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_xlfn.XLOOKUP(Orders[[#This Row],[Customer ID]],Customers!$A$2:$A$1001,Customers!$I$2:$I$1001,0)</f>
        <v>No</v>
      </c>
    </row>
    <row r="568" spans="1:16" x14ac:dyDescent="0.3">
      <c r="A568" s="2" t="s">
        <v>3689</v>
      </c>
      <c r="B568" s="3">
        <v>44459</v>
      </c>
      <c r="C568" s="2" t="s">
        <v>3690</v>
      </c>
      <c r="D568" t="s">
        <v>6152</v>
      </c>
      <c r="E568" s="2">
        <v>6</v>
      </c>
      <c r="F568" s="2" t="str">
        <f>_xlfn.XLOOKUP(C568,Customers!$A$2:$A$1001,Customers!$B$2:$B$1001,0)</f>
        <v>Audra Kelston</v>
      </c>
      <c r="G568" s="2" t="str">
        <f>IF(_xlfn.XLOOKUP(C568,Customers!$A$2:$A$1001,Customers!$C$2:$C$1001)=0,"",_xlfn.XLOOKUP(C568,Customers!$A$2:$A$1001,Customers!$C$2:$C$1001))</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_xlfn.XLOOKUP(Orders[[#This Row],[Customer ID]],Customers!$A$2:$A$1001,Customers!$I$2:$I$1001,0)</f>
        <v>Yes</v>
      </c>
    </row>
    <row r="569" spans="1:16" x14ac:dyDescent="0.3">
      <c r="A569" s="2" t="s">
        <v>3695</v>
      </c>
      <c r="B569" s="3">
        <v>44318</v>
      </c>
      <c r="C569" s="2" t="s">
        <v>3696</v>
      </c>
      <c r="D569" t="s">
        <v>6142</v>
      </c>
      <c r="E569" s="2">
        <v>6</v>
      </c>
      <c r="F569" s="2" t="str">
        <f>_xlfn.XLOOKUP(C569,Customers!$A$2:$A$1001,Customers!$B$2:$B$1001,0)</f>
        <v>Elvina Angel</v>
      </c>
      <c r="G569" s="2" t="str">
        <f>IF(_xlfn.XLOOKUP(C569,Customers!$A$2:$A$1001,Customers!$C$2:$C$1001)=0,"",_xlfn.XLOOKUP(C569,Customers!$A$2:$A$1001,Customers!$C$2:$C$1001))</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_xlfn.XLOOKUP(Orders[[#This Row],[Customer ID]],Customers!$A$2:$A$1001,Customers!$I$2:$I$1001,0)</f>
        <v>No</v>
      </c>
    </row>
    <row r="570" spans="1:16" x14ac:dyDescent="0.3">
      <c r="A570" s="2" t="s">
        <v>3700</v>
      </c>
      <c r="B570" s="3">
        <v>44526</v>
      </c>
      <c r="C570" s="2" t="s">
        <v>3701</v>
      </c>
      <c r="D570" t="s">
        <v>6145</v>
      </c>
      <c r="E570" s="2">
        <v>4</v>
      </c>
      <c r="F570" s="2" t="str">
        <f>_xlfn.XLOOKUP(C570,Customers!$A$2:$A$1001,Customers!$B$2:$B$1001,0)</f>
        <v>Claiborne Mottram</v>
      </c>
      <c r="G570" s="2" t="str">
        <f>IF(_xlfn.XLOOKUP(C570,Customers!$A$2:$A$1001,Customers!$C$2:$C$1001)=0,"",_xlfn.XLOOKUP(C570,Customers!$A$2:$A$1001,Customers!$C$2:$C$1001))</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_xlfn.XLOOKUP(Orders[[#This Row],[Customer ID]],Customers!$A$2:$A$1001,Customers!$I$2:$I$1001,0)</f>
        <v>Yes</v>
      </c>
    </row>
    <row r="571" spans="1:16" x14ac:dyDescent="0.3">
      <c r="A571" s="2" t="s">
        <v>3706</v>
      </c>
      <c r="B571" s="3">
        <v>43879</v>
      </c>
      <c r="C571" s="2" t="s">
        <v>3752</v>
      </c>
      <c r="D571" t="s">
        <v>6168</v>
      </c>
      <c r="E571" s="2">
        <v>6</v>
      </c>
      <c r="F571" s="2" t="str">
        <f>_xlfn.XLOOKUP(C571,Customers!$A$2:$A$1001,Customers!$B$2:$B$1001,0)</f>
        <v>Don Flintiff</v>
      </c>
      <c r="G571" s="2" t="str">
        <f>IF(_xlfn.XLOOKUP(C571,Customers!$A$2:$A$1001,Customers!$C$2:$C$1001)=0,"",_xlfn.XLOOKUP(C571,Customers!$A$2:$A$1001,Customers!$C$2:$C$1001))</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_xlfn.XLOOKUP(Orders[[#This Row],[Customer ID]],Customers!$A$2:$A$1001,Customers!$I$2:$I$1001,0)</f>
        <v>No</v>
      </c>
    </row>
    <row r="572" spans="1:16" x14ac:dyDescent="0.3">
      <c r="A572" s="2" t="s">
        <v>3712</v>
      </c>
      <c r="B572" s="3">
        <v>43928</v>
      </c>
      <c r="C572" s="2" t="s">
        <v>3713</v>
      </c>
      <c r="D572" t="s">
        <v>6157</v>
      </c>
      <c r="E572" s="2">
        <v>4</v>
      </c>
      <c r="F572" s="2" t="str">
        <f>_xlfn.XLOOKUP(C572,Customers!$A$2:$A$1001,Customers!$B$2:$B$1001,0)</f>
        <v>Donalt Sangwin</v>
      </c>
      <c r="G572" s="2" t="str">
        <f>IF(_xlfn.XLOOKUP(C572,Customers!$A$2:$A$1001,Customers!$C$2:$C$1001)=0,"",_xlfn.XLOOKUP(C572,Customers!$A$2:$A$1001,Customers!$C$2:$C$1001))</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_xlfn.XLOOKUP(Orders[[#This Row],[Customer ID]],Customers!$A$2:$A$1001,Customers!$I$2:$I$1001,0)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IF(_xlfn.XLOOKUP(C573,Customers!$A$2:$A$1001,Customers!$C$2:$C$1001)=0,"",_xlfn.XLOOKUP(C573,Customers!$A$2:$A$1001,Customers!$C$2:$C$1001))</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_xlfn.XLOOKUP(Orders[[#This Row],[Customer ID]],Customers!$A$2:$A$1001,Customers!$I$2:$I$1001,0)</f>
        <v>No</v>
      </c>
    </row>
    <row r="574" spans="1:16" x14ac:dyDescent="0.3">
      <c r="A574" s="2" t="s">
        <v>3724</v>
      </c>
      <c r="B574" s="3">
        <v>43515</v>
      </c>
      <c r="C574" s="2" t="s">
        <v>3725</v>
      </c>
      <c r="D574" t="s">
        <v>6154</v>
      </c>
      <c r="E574" s="2">
        <v>2</v>
      </c>
      <c r="F574" s="2" t="str">
        <f>_xlfn.XLOOKUP(C574,Customers!$A$2:$A$1001,Customers!$B$2:$B$1001,0)</f>
        <v>Herbie Peppard</v>
      </c>
      <c r="G574" s="2" t="str">
        <f>IF(_xlfn.XLOOKUP(C574,Customers!$A$2:$A$1001,Customers!$C$2:$C$1001)=0,"",_xlfn.XLOOKUP(C574,Customers!$A$2:$A$1001,Customers!$C$2:$C$1001))</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_xlfn.XLOOKUP(Orders[[#This Row],[Customer ID]],Customers!$A$2:$A$1001,Customers!$I$2:$I$1001,0)</f>
        <v>Yes</v>
      </c>
    </row>
    <row r="575" spans="1:16" x14ac:dyDescent="0.3">
      <c r="A575" s="2" t="s">
        <v>3728</v>
      </c>
      <c r="B575" s="3">
        <v>43781</v>
      </c>
      <c r="C575" s="2" t="s">
        <v>3729</v>
      </c>
      <c r="D575" t="s">
        <v>6155</v>
      </c>
      <c r="E575" s="2">
        <v>6</v>
      </c>
      <c r="F575" s="2" t="str">
        <f>_xlfn.XLOOKUP(C575,Customers!$A$2:$A$1001,Customers!$B$2:$B$1001,0)</f>
        <v>Cornie Venour</v>
      </c>
      <c r="G575" s="2" t="str">
        <f>IF(_xlfn.XLOOKUP(C575,Customers!$A$2:$A$1001,Customers!$C$2:$C$1001)=0,"",_xlfn.XLOOKUP(C575,Customers!$A$2:$A$1001,Customers!$C$2:$C$1001))</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_xlfn.XLOOKUP(Orders[[#This Row],[Customer ID]],Customers!$A$2:$A$1001,Customers!$I$2:$I$1001,0)</f>
        <v>No</v>
      </c>
    </row>
    <row r="576" spans="1:16" x14ac:dyDescent="0.3">
      <c r="A576" s="2" t="s">
        <v>3734</v>
      </c>
      <c r="B576" s="3">
        <v>44697</v>
      </c>
      <c r="C576" s="2" t="s">
        <v>3735</v>
      </c>
      <c r="D576" t="s">
        <v>6178</v>
      </c>
      <c r="E576" s="2">
        <v>6</v>
      </c>
      <c r="F576" s="2" t="str">
        <f>_xlfn.XLOOKUP(C576,Customers!$A$2:$A$1001,Customers!$B$2:$B$1001,0)</f>
        <v>Maggy Harby</v>
      </c>
      <c r="G576" s="2" t="str">
        <f>IF(_xlfn.XLOOKUP(C576,Customers!$A$2:$A$1001,Customers!$C$2:$C$1001)=0,"",_xlfn.XLOOKUP(C576,Customers!$A$2:$A$1001,Customers!$C$2:$C$1001))</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_xlfn.XLOOKUP(Orders[[#This Row],[Customer ID]],Customers!$A$2:$A$1001,Customers!$I$2:$I$1001,0)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IF(_xlfn.XLOOKUP(C577,Customers!$A$2:$A$1001,Customers!$C$2:$C$1001)=0,"",_xlfn.XLOOKUP(C577,Customers!$A$2:$A$1001,Customers!$C$2:$C$1001))</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_xlfn.XLOOKUP(Orders[[#This Row],[Customer ID]],Customers!$A$2:$A$1001,Customers!$I$2:$I$1001,0)</f>
        <v>No</v>
      </c>
    </row>
    <row r="578" spans="1:16" x14ac:dyDescent="0.3">
      <c r="A578" s="2" t="s">
        <v>3745</v>
      </c>
      <c r="B578" s="3">
        <v>44290</v>
      </c>
      <c r="C578" s="2" t="s">
        <v>3746</v>
      </c>
      <c r="D578" t="s">
        <v>6154</v>
      </c>
      <c r="E578" s="2">
        <v>6</v>
      </c>
      <c r="F578" s="2" t="str">
        <f>_xlfn.XLOOKUP(C578,Customers!$A$2:$A$1001,Customers!$B$2:$B$1001,0)</f>
        <v>Phyllys Ormerod</v>
      </c>
      <c r="G578" s="2" t="str">
        <f>IF(_xlfn.XLOOKUP(C578,Customers!$A$2:$A$1001,Customers!$C$2:$C$1001)=0,"",_xlfn.XLOOKUP(C578,Customers!$A$2:$A$1001,Customers!$C$2:$C$1001))</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ref="M578:M641" si="27">L578*E578</f>
        <v>17.91</v>
      </c>
      <c r="N578" t="str">
        <f t="shared" ref="N578:N641" si="28">IF(I578="Rob","Robusta",IF(I578="Exc","Excelsa",IF(I578="Ara","Arabica",IF(I578="Lib","Liberica",""))))</f>
        <v>Arabica</v>
      </c>
      <c r="O578" t="str">
        <f t="shared" ref="O578:O641" si="29">IF(J578="M","Medium",IF(J578="L","Light",IF(J578="D","Dark","")))</f>
        <v>Dark</v>
      </c>
      <c r="P578" t="str">
        <f>_xlfn.XLOOKUP(Orders[[#This Row],[Customer ID]],Customers!$A$2:$A$1001,Customers!$I$2:$I$1001,0)</f>
        <v>No</v>
      </c>
    </row>
    <row r="579" spans="1:16" x14ac:dyDescent="0.3">
      <c r="A579" s="2" t="s">
        <v>3751</v>
      </c>
      <c r="B579" s="3">
        <v>44410</v>
      </c>
      <c r="C579" s="2" t="s">
        <v>3752</v>
      </c>
      <c r="D579" t="s">
        <v>6162</v>
      </c>
      <c r="E579" s="2">
        <v>4</v>
      </c>
      <c r="F579" s="2" t="str">
        <f>_xlfn.XLOOKUP(C579,Customers!$A$2:$A$1001,Customers!$B$2:$B$1001,0)</f>
        <v>Don Flintiff</v>
      </c>
      <c r="G579" s="2" t="str">
        <f>IF(_xlfn.XLOOKUP(C579,Customers!$A$2:$A$1001,Customers!$C$2:$C$1001)=0,"",_xlfn.XLOOKUP(C579,Customers!$A$2:$A$1001,Customers!$C$2:$C$1001))</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si="27"/>
        <v>58.2</v>
      </c>
      <c r="N579" t="str">
        <f t="shared" si="28"/>
        <v>Liberica</v>
      </c>
      <c r="O579" t="str">
        <f t="shared" si="29"/>
        <v>Medium</v>
      </c>
      <c r="P579" t="str">
        <f>_xlfn.XLOOKUP(Orders[[#This Row],[Customer ID]],Customers!$A$2:$A$1001,Customers!$I$2:$I$1001,0)</f>
        <v>No</v>
      </c>
    </row>
    <row r="580" spans="1:16" x14ac:dyDescent="0.3">
      <c r="A580" s="2" t="s">
        <v>3756</v>
      </c>
      <c r="B580" s="3">
        <v>44720</v>
      </c>
      <c r="C580" s="2" t="s">
        <v>3757</v>
      </c>
      <c r="D580" t="s">
        <v>6184</v>
      </c>
      <c r="E580" s="2">
        <v>3</v>
      </c>
      <c r="F580" s="2" t="str">
        <f>_xlfn.XLOOKUP(C580,Customers!$A$2:$A$1001,Customers!$B$2:$B$1001,0)</f>
        <v>Tymon Zanetti</v>
      </c>
      <c r="G580" s="2" t="str">
        <f>IF(_xlfn.XLOOKUP(C580,Customers!$A$2:$A$1001,Customers!$C$2:$C$1001)=0,"",_xlfn.XLOOKUP(C580,Customers!$A$2:$A$1001,Customers!$C$2:$C$1001))</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_xlfn.XLOOKUP(Orders[[#This Row],[Customer ID]],Customers!$A$2:$A$1001,Customers!$I$2:$I$1001,0)</f>
        <v>No</v>
      </c>
    </row>
    <row r="581" spans="1:16" x14ac:dyDescent="0.3">
      <c r="A581" s="2" t="s">
        <v>3756</v>
      </c>
      <c r="B581" s="3">
        <v>44720</v>
      </c>
      <c r="C581" s="2" t="s">
        <v>3757</v>
      </c>
      <c r="D581" t="s">
        <v>6157</v>
      </c>
      <c r="E581" s="2">
        <v>5</v>
      </c>
      <c r="F581" s="2" t="str">
        <f>_xlfn.XLOOKUP(C581,Customers!$A$2:$A$1001,Customers!$B$2:$B$1001,0)</f>
        <v>Tymon Zanetti</v>
      </c>
      <c r="G581" s="2" t="str">
        <f>IF(_xlfn.XLOOKUP(C581,Customers!$A$2:$A$1001,Customers!$C$2:$C$1001)=0,"",_xlfn.XLOOKUP(C581,Customers!$A$2:$A$1001,Customers!$C$2:$C$1001))</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_xlfn.XLOOKUP(Orders[[#This Row],[Customer ID]],Customers!$A$2:$A$1001,Customers!$I$2:$I$1001,0)</f>
        <v>No</v>
      </c>
    </row>
    <row r="582" spans="1:16" x14ac:dyDescent="0.3">
      <c r="A582" s="2" t="s">
        <v>3767</v>
      </c>
      <c r="B582" s="3">
        <v>43965</v>
      </c>
      <c r="C582" s="2" t="s">
        <v>3768</v>
      </c>
      <c r="D582" t="s">
        <v>6171</v>
      </c>
      <c r="E582" s="2">
        <v>3</v>
      </c>
      <c r="F582" s="2" t="str">
        <f>_xlfn.XLOOKUP(C582,Customers!$A$2:$A$1001,Customers!$B$2:$B$1001,0)</f>
        <v>Reinaldos Kirtley</v>
      </c>
      <c r="G582" s="2" t="str">
        <f>IF(_xlfn.XLOOKUP(C582,Customers!$A$2:$A$1001,Customers!$C$2:$C$1001)=0,"",_xlfn.XLOOKUP(C582,Customers!$A$2:$A$1001,Customers!$C$2:$C$1001))</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_xlfn.XLOOKUP(Orders[[#This Row],[Customer ID]],Customers!$A$2:$A$1001,Customers!$I$2:$I$1001,0)</f>
        <v>Yes</v>
      </c>
    </row>
    <row r="583" spans="1:16" x14ac:dyDescent="0.3">
      <c r="A583" s="2" t="s">
        <v>3773</v>
      </c>
      <c r="B583" s="3">
        <v>44190</v>
      </c>
      <c r="C583" s="2" t="s">
        <v>3774</v>
      </c>
      <c r="D583" t="s">
        <v>6176</v>
      </c>
      <c r="E583" s="2">
        <v>5</v>
      </c>
      <c r="F583" s="2" t="str">
        <f>_xlfn.XLOOKUP(C583,Customers!$A$2:$A$1001,Customers!$B$2:$B$1001,0)</f>
        <v>Carney Clemencet</v>
      </c>
      <c r="G583" s="2" t="str">
        <f>IF(_xlfn.XLOOKUP(C583,Customers!$A$2:$A$1001,Customers!$C$2:$C$1001)=0,"",_xlfn.XLOOKUP(C583,Customers!$A$2:$A$1001,Customers!$C$2:$C$1001))</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_xlfn.XLOOKUP(Orders[[#This Row],[Customer ID]],Customers!$A$2:$A$1001,Customers!$I$2:$I$1001,0)</f>
        <v>Yes</v>
      </c>
    </row>
    <row r="584" spans="1:16" x14ac:dyDescent="0.3">
      <c r="A584" s="2" t="s">
        <v>3778</v>
      </c>
      <c r="B584" s="3">
        <v>44382</v>
      </c>
      <c r="C584" s="2" t="s">
        <v>3779</v>
      </c>
      <c r="D584" t="s">
        <v>6183</v>
      </c>
      <c r="E584" s="2">
        <v>5</v>
      </c>
      <c r="F584" s="2" t="str">
        <f>_xlfn.XLOOKUP(C584,Customers!$A$2:$A$1001,Customers!$B$2:$B$1001,0)</f>
        <v>Russell Donet</v>
      </c>
      <c r="G584" s="2" t="str">
        <f>IF(_xlfn.XLOOKUP(C584,Customers!$A$2:$A$1001,Customers!$C$2:$C$1001)=0,"",_xlfn.XLOOKUP(C584,Customers!$A$2:$A$1001,Customers!$C$2:$C$1001))</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_xlfn.XLOOKUP(Orders[[#This Row],[Customer ID]],Customers!$A$2:$A$1001,Customers!$I$2:$I$1001,0)</f>
        <v>No</v>
      </c>
    </row>
    <row r="585" spans="1:16" x14ac:dyDescent="0.3">
      <c r="A585" s="2" t="s">
        <v>3784</v>
      </c>
      <c r="B585" s="3">
        <v>43538</v>
      </c>
      <c r="C585" s="2" t="s">
        <v>3785</v>
      </c>
      <c r="D585" t="s">
        <v>6178</v>
      </c>
      <c r="E585" s="2">
        <v>1</v>
      </c>
      <c r="F585" s="2" t="str">
        <f>_xlfn.XLOOKUP(C585,Customers!$A$2:$A$1001,Customers!$B$2:$B$1001,0)</f>
        <v>Sidney Gawen</v>
      </c>
      <c r="G585" s="2" t="str">
        <f>IF(_xlfn.XLOOKUP(C585,Customers!$A$2:$A$1001,Customers!$C$2:$C$1001)=0,"",_xlfn.XLOOKUP(C585,Customers!$A$2:$A$1001,Customers!$C$2:$C$1001))</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_xlfn.XLOOKUP(Orders[[#This Row],[Customer ID]],Customers!$A$2:$A$1001,Customers!$I$2:$I$1001,0)</f>
        <v>Yes</v>
      </c>
    </row>
    <row r="586" spans="1:16" x14ac:dyDescent="0.3">
      <c r="A586" s="2" t="s">
        <v>3790</v>
      </c>
      <c r="B586" s="3">
        <v>44262</v>
      </c>
      <c r="C586" s="2" t="s">
        <v>3791</v>
      </c>
      <c r="D586" t="s">
        <v>6178</v>
      </c>
      <c r="E586" s="2">
        <v>6</v>
      </c>
      <c r="F586" s="2" t="str">
        <f>_xlfn.XLOOKUP(C586,Customers!$A$2:$A$1001,Customers!$B$2:$B$1001,0)</f>
        <v>Rickey Readie</v>
      </c>
      <c r="G586" s="2" t="str">
        <f>IF(_xlfn.XLOOKUP(C586,Customers!$A$2:$A$1001,Customers!$C$2:$C$1001)=0,"",_xlfn.XLOOKUP(C586,Customers!$A$2:$A$1001,Customers!$C$2:$C$1001))</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_xlfn.XLOOKUP(Orders[[#This Row],[Customer ID]],Customers!$A$2:$A$1001,Customers!$I$2:$I$1001,0)</f>
        <v>No</v>
      </c>
    </row>
    <row r="587" spans="1:16" x14ac:dyDescent="0.3">
      <c r="A587" s="2" t="s">
        <v>3796</v>
      </c>
      <c r="B587" s="3">
        <v>44505</v>
      </c>
      <c r="C587" s="2" t="s">
        <v>3840</v>
      </c>
      <c r="D587" t="s">
        <v>6139</v>
      </c>
      <c r="E587" s="2">
        <v>2</v>
      </c>
      <c r="F587" s="2" t="str">
        <f>_xlfn.XLOOKUP(C587,Customers!$A$2:$A$1001,Customers!$B$2:$B$1001,0)</f>
        <v>Cody Verissimo</v>
      </c>
      <c r="G587" s="2" t="str">
        <f>IF(_xlfn.XLOOKUP(C587,Customers!$A$2:$A$1001,Customers!$C$2:$C$1001)=0,"",_xlfn.XLOOKUP(C587,Customers!$A$2:$A$1001,Customers!$C$2:$C$1001))</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_xlfn.XLOOKUP(Orders[[#This Row],[Customer ID]],Customers!$A$2:$A$1001,Customers!$I$2:$I$1001,0)</f>
        <v>Yes</v>
      </c>
    </row>
    <row r="588" spans="1:16" x14ac:dyDescent="0.3">
      <c r="A588" s="2" t="s">
        <v>3802</v>
      </c>
      <c r="B588" s="3">
        <v>43867</v>
      </c>
      <c r="C588" s="2" t="s">
        <v>3803</v>
      </c>
      <c r="D588" t="s">
        <v>6142</v>
      </c>
      <c r="E588" s="2">
        <v>3</v>
      </c>
      <c r="F588" s="2" t="str">
        <f>_xlfn.XLOOKUP(C588,Customers!$A$2:$A$1001,Customers!$B$2:$B$1001,0)</f>
        <v>Zilvia Claisse</v>
      </c>
      <c r="G588" s="2" t="str">
        <f>IF(_xlfn.XLOOKUP(C588,Customers!$A$2:$A$1001,Customers!$C$2:$C$1001)=0,"",_xlfn.XLOOKUP(C588,Customers!$A$2:$A$1001,Customers!$C$2:$C$1001))</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_xlfn.XLOOKUP(Orders[[#This Row],[Customer ID]],Customers!$A$2:$A$1001,Customers!$I$2:$I$1001,0)</f>
        <v>No</v>
      </c>
    </row>
    <row r="589" spans="1:16" x14ac:dyDescent="0.3">
      <c r="A589" s="2" t="s">
        <v>3807</v>
      </c>
      <c r="B589" s="3">
        <v>44267</v>
      </c>
      <c r="C589" s="2" t="s">
        <v>3808</v>
      </c>
      <c r="D589" t="s">
        <v>6169</v>
      </c>
      <c r="E589" s="2">
        <v>1</v>
      </c>
      <c r="F589" s="2" t="str">
        <f>_xlfn.XLOOKUP(C589,Customers!$A$2:$A$1001,Customers!$B$2:$B$1001,0)</f>
        <v>Bar O' Mahony</v>
      </c>
      <c r="G589" s="2" t="str">
        <f>IF(_xlfn.XLOOKUP(C589,Customers!$A$2:$A$1001,Customers!$C$2:$C$1001)=0,"",_xlfn.XLOOKUP(C589,Customers!$A$2:$A$1001,Customers!$C$2:$C$1001))</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_xlfn.XLOOKUP(Orders[[#This Row],[Customer ID]],Customers!$A$2:$A$1001,Customers!$I$2:$I$1001,0)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IF(_xlfn.XLOOKUP(C590,Customers!$A$2:$A$1001,Customers!$C$2:$C$1001)=0,"",_xlfn.XLOOKUP(C590,Customers!$A$2:$A$1001,Customers!$C$2:$C$1001))</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_xlfn.XLOOKUP(Orders[[#This Row],[Customer ID]],Customers!$A$2:$A$1001,Customers!$I$2:$I$1001,0)</f>
        <v>Yes</v>
      </c>
    </row>
    <row r="591" spans="1:16" x14ac:dyDescent="0.3">
      <c r="A591" s="2" t="s">
        <v>3818</v>
      </c>
      <c r="B591" s="3">
        <v>43671</v>
      </c>
      <c r="C591" s="2" t="s">
        <v>3819</v>
      </c>
      <c r="D591" t="s">
        <v>6148</v>
      </c>
      <c r="E591" s="2">
        <v>6</v>
      </c>
      <c r="F591" s="2" t="str">
        <f>_xlfn.XLOOKUP(C591,Customers!$A$2:$A$1001,Customers!$B$2:$B$1001,0)</f>
        <v>Daniel Heinonen</v>
      </c>
      <c r="G591" s="2" t="str">
        <f>IF(_xlfn.XLOOKUP(C591,Customers!$A$2:$A$1001,Customers!$C$2:$C$1001)=0,"",_xlfn.XLOOKUP(C591,Customers!$A$2:$A$1001,Customers!$C$2:$C$1001))</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_xlfn.XLOOKUP(Orders[[#This Row],[Customer ID]],Customers!$A$2:$A$1001,Customers!$I$2:$I$1001,0)</f>
        <v>No</v>
      </c>
    </row>
    <row r="592" spans="1:16" x14ac:dyDescent="0.3">
      <c r="A592" s="2" t="s">
        <v>3823</v>
      </c>
      <c r="B592" s="3">
        <v>43950</v>
      </c>
      <c r="C592" s="2" t="s">
        <v>3824</v>
      </c>
      <c r="D592" t="s">
        <v>6166</v>
      </c>
      <c r="E592" s="2">
        <v>2</v>
      </c>
      <c r="F592" s="2" t="str">
        <f>_xlfn.XLOOKUP(C592,Customers!$A$2:$A$1001,Customers!$B$2:$B$1001,0)</f>
        <v>Jewelle Shenton</v>
      </c>
      <c r="G592" s="2" t="str">
        <f>IF(_xlfn.XLOOKUP(C592,Customers!$A$2:$A$1001,Customers!$C$2:$C$1001)=0,"",_xlfn.XLOOKUP(C592,Customers!$A$2:$A$1001,Customers!$C$2:$C$1001))</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_xlfn.XLOOKUP(Orders[[#This Row],[Customer ID]],Customers!$A$2:$A$1001,Customers!$I$2:$I$1001,0)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IF(_xlfn.XLOOKUP(C593,Customers!$A$2:$A$1001,Customers!$C$2:$C$1001)=0,"",_xlfn.XLOOKUP(C593,Customers!$A$2:$A$1001,Customers!$C$2:$C$1001))</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_xlfn.XLOOKUP(Orders[[#This Row],[Customer ID]],Customers!$A$2:$A$1001,Customers!$I$2:$I$1001,0)</f>
        <v>Yes</v>
      </c>
    </row>
    <row r="594" spans="1:16" x14ac:dyDescent="0.3">
      <c r="A594" s="2" t="s">
        <v>3834</v>
      </c>
      <c r="B594" s="3">
        <v>44437</v>
      </c>
      <c r="C594" s="2" t="s">
        <v>3835</v>
      </c>
      <c r="D594" t="s">
        <v>6175</v>
      </c>
      <c r="E594" s="2">
        <v>2</v>
      </c>
      <c r="F594" s="2" t="str">
        <f>_xlfn.XLOOKUP(C594,Customers!$A$2:$A$1001,Customers!$B$2:$B$1001,0)</f>
        <v>Kylie Mowat</v>
      </c>
      <c r="G594" s="2" t="str">
        <f>IF(_xlfn.XLOOKUP(C594,Customers!$A$2:$A$1001,Customers!$C$2:$C$1001)=0,"",_xlfn.XLOOKUP(C594,Customers!$A$2:$A$1001,Customers!$C$2:$C$1001))</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_xlfn.XLOOKUP(Orders[[#This Row],[Customer ID]],Customers!$A$2:$A$1001,Customers!$I$2:$I$1001,0)</f>
        <v>No</v>
      </c>
    </row>
    <row r="595" spans="1:16" x14ac:dyDescent="0.3">
      <c r="A595" s="2" t="s">
        <v>3839</v>
      </c>
      <c r="B595" s="3">
        <v>43903</v>
      </c>
      <c r="C595" s="2" t="s">
        <v>3840</v>
      </c>
      <c r="D595" t="s">
        <v>6185</v>
      </c>
      <c r="E595" s="2">
        <v>1</v>
      </c>
      <c r="F595" s="2" t="str">
        <f>_xlfn.XLOOKUP(C595,Customers!$A$2:$A$1001,Customers!$B$2:$B$1001,0)</f>
        <v>Cody Verissimo</v>
      </c>
      <c r="G595" s="2" t="str">
        <f>IF(_xlfn.XLOOKUP(C595,Customers!$A$2:$A$1001,Customers!$C$2:$C$1001)=0,"",_xlfn.XLOOKUP(C595,Customers!$A$2:$A$1001,Customers!$C$2:$C$1001))</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_xlfn.XLOOKUP(Orders[[#This Row],[Customer ID]],Customers!$A$2:$A$1001,Customers!$I$2:$I$1001,0)</f>
        <v>Yes</v>
      </c>
    </row>
    <row r="596" spans="1:16" x14ac:dyDescent="0.3">
      <c r="A596" s="2" t="s">
        <v>3844</v>
      </c>
      <c r="B596" s="3">
        <v>43512</v>
      </c>
      <c r="C596" s="2" t="s">
        <v>3845</v>
      </c>
      <c r="D596" t="s">
        <v>6182</v>
      </c>
      <c r="E596" s="2">
        <v>2</v>
      </c>
      <c r="F596" s="2" t="str">
        <f>_xlfn.XLOOKUP(C596,Customers!$A$2:$A$1001,Customers!$B$2:$B$1001,0)</f>
        <v>Gabriel Starcks</v>
      </c>
      <c r="G596" s="2" t="str">
        <f>IF(_xlfn.XLOOKUP(C596,Customers!$A$2:$A$1001,Customers!$C$2:$C$1001)=0,"",_xlfn.XLOOKUP(C596,Customers!$A$2:$A$1001,Customers!$C$2:$C$1001))</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_xlfn.XLOOKUP(Orders[[#This Row],[Customer ID]],Customers!$A$2:$A$1001,Customers!$I$2:$I$1001,0)</f>
        <v>No</v>
      </c>
    </row>
    <row r="597" spans="1:16" x14ac:dyDescent="0.3">
      <c r="A597" s="2" t="s">
        <v>3850</v>
      </c>
      <c r="B597" s="3">
        <v>44527</v>
      </c>
      <c r="C597" s="2" t="s">
        <v>3851</v>
      </c>
      <c r="D597" t="s">
        <v>6171</v>
      </c>
      <c r="E597" s="2">
        <v>1</v>
      </c>
      <c r="F597" s="2" t="str">
        <f>_xlfn.XLOOKUP(C597,Customers!$A$2:$A$1001,Customers!$B$2:$B$1001,0)</f>
        <v>Darby Dummer</v>
      </c>
      <c r="G597" s="2" t="str">
        <f>IF(_xlfn.XLOOKUP(C597,Customers!$A$2:$A$1001,Customers!$C$2:$C$1001)=0,"",_xlfn.XLOOKUP(C597,Customers!$A$2:$A$1001,Customers!$C$2:$C$1001))</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_xlfn.XLOOKUP(Orders[[#This Row],[Customer ID]],Customers!$A$2:$A$1001,Customers!$I$2:$I$1001,0)</f>
        <v>No</v>
      </c>
    </row>
    <row r="598" spans="1:16" x14ac:dyDescent="0.3">
      <c r="A598" s="2" t="s">
        <v>3854</v>
      </c>
      <c r="B598" s="3">
        <v>44523</v>
      </c>
      <c r="C598" s="2" t="s">
        <v>3855</v>
      </c>
      <c r="D598" t="s">
        <v>6157</v>
      </c>
      <c r="E598" s="2">
        <v>5</v>
      </c>
      <c r="F598" s="2" t="str">
        <f>_xlfn.XLOOKUP(C598,Customers!$A$2:$A$1001,Customers!$B$2:$B$1001,0)</f>
        <v>Kienan Scholard</v>
      </c>
      <c r="G598" s="2" t="str">
        <f>IF(_xlfn.XLOOKUP(C598,Customers!$A$2:$A$1001,Customers!$C$2:$C$1001)=0,"",_xlfn.XLOOKUP(C598,Customers!$A$2:$A$1001,Customers!$C$2:$C$1001))</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_xlfn.XLOOKUP(Orders[[#This Row],[Customer ID]],Customers!$A$2:$A$1001,Customers!$I$2:$I$1001,0)</f>
        <v>No</v>
      </c>
    </row>
    <row r="599" spans="1:16" x14ac:dyDescent="0.3">
      <c r="A599" s="2" t="s">
        <v>3860</v>
      </c>
      <c r="B599" s="3">
        <v>44532</v>
      </c>
      <c r="C599" s="2" t="s">
        <v>3861</v>
      </c>
      <c r="D599" t="s">
        <v>6164</v>
      </c>
      <c r="E599" s="2">
        <v>4</v>
      </c>
      <c r="F599" s="2" t="str">
        <f>_xlfn.XLOOKUP(C599,Customers!$A$2:$A$1001,Customers!$B$2:$B$1001,0)</f>
        <v>Bo Kindley</v>
      </c>
      <c r="G599" s="2" t="str">
        <f>IF(_xlfn.XLOOKUP(C599,Customers!$A$2:$A$1001,Customers!$C$2:$C$1001)=0,"",_xlfn.XLOOKUP(C599,Customers!$A$2:$A$1001,Customers!$C$2:$C$1001))</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_xlfn.XLOOKUP(Orders[[#This Row],[Customer ID]],Customers!$A$2:$A$1001,Customers!$I$2:$I$1001,0)</f>
        <v>Yes</v>
      </c>
    </row>
    <row r="600" spans="1:16" x14ac:dyDescent="0.3">
      <c r="A600" s="2" t="s">
        <v>3866</v>
      </c>
      <c r="B600" s="3">
        <v>43471</v>
      </c>
      <c r="C600" s="2" t="s">
        <v>3867</v>
      </c>
      <c r="D600" t="s">
        <v>6174</v>
      </c>
      <c r="E600" s="2">
        <v>4</v>
      </c>
      <c r="F600" s="2" t="str">
        <f>_xlfn.XLOOKUP(C600,Customers!$A$2:$A$1001,Customers!$B$2:$B$1001,0)</f>
        <v>Krissie Hammett</v>
      </c>
      <c r="G600" s="2" t="str">
        <f>IF(_xlfn.XLOOKUP(C600,Customers!$A$2:$A$1001,Customers!$C$2:$C$1001)=0,"",_xlfn.XLOOKUP(C600,Customers!$A$2:$A$1001,Customers!$C$2:$C$1001))</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_xlfn.XLOOKUP(Orders[[#This Row],[Customer ID]],Customers!$A$2:$A$1001,Customers!$I$2:$I$1001,0)</f>
        <v>Yes</v>
      </c>
    </row>
    <row r="601" spans="1:16" x14ac:dyDescent="0.3">
      <c r="A601" s="2" t="s">
        <v>3872</v>
      </c>
      <c r="B601" s="3">
        <v>44321</v>
      </c>
      <c r="C601" s="2" t="s">
        <v>3873</v>
      </c>
      <c r="D601" t="s">
        <v>6154</v>
      </c>
      <c r="E601" s="2">
        <v>4</v>
      </c>
      <c r="F601" s="2" t="str">
        <f>_xlfn.XLOOKUP(C601,Customers!$A$2:$A$1001,Customers!$B$2:$B$1001,0)</f>
        <v>Alisha Hulburt</v>
      </c>
      <c r="G601" s="2" t="str">
        <f>IF(_xlfn.XLOOKUP(C601,Customers!$A$2:$A$1001,Customers!$C$2:$C$1001)=0,"",_xlfn.XLOOKUP(C601,Customers!$A$2:$A$1001,Customers!$C$2:$C$1001))</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_xlfn.XLOOKUP(Orders[[#This Row],[Customer ID]],Customers!$A$2:$A$1001,Customers!$I$2:$I$1001,0)</f>
        <v>Yes</v>
      </c>
    </row>
    <row r="602" spans="1:16" x14ac:dyDescent="0.3">
      <c r="A602" s="2" t="s">
        <v>3877</v>
      </c>
      <c r="B602" s="3">
        <v>44492</v>
      </c>
      <c r="C602" s="2" t="s">
        <v>3878</v>
      </c>
      <c r="D602" t="s">
        <v>6169</v>
      </c>
      <c r="E602" s="2">
        <v>1</v>
      </c>
      <c r="F602" s="2" t="str">
        <f>_xlfn.XLOOKUP(C602,Customers!$A$2:$A$1001,Customers!$B$2:$B$1001,0)</f>
        <v>Peyter Lauritzen</v>
      </c>
      <c r="G602" s="2" t="str">
        <f>IF(_xlfn.XLOOKUP(C602,Customers!$A$2:$A$1001,Customers!$C$2:$C$1001)=0,"",_xlfn.XLOOKUP(C602,Customers!$A$2:$A$1001,Customers!$C$2:$C$1001))</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_xlfn.XLOOKUP(Orders[[#This Row],[Customer ID]],Customers!$A$2:$A$1001,Customers!$I$2:$I$1001,0)</f>
        <v>No</v>
      </c>
    </row>
    <row r="603" spans="1:16" x14ac:dyDescent="0.3">
      <c r="A603" s="2" t="s">
        <v>3883</v>
      </c>
      <c r="B603" s="3">
        <v>43815</v>
      </c>
      <c r="C603" s="2" t="s">
        <v>3884</v>
      </c>
      <c r="D603" t="s">
        <v>6142</v>
      </c>
      <c r="E603" s="2">
        <v>4</v>
      </c>
      <c r="F603" s="2" t="str">
        <f>_xlfn.XLOOKUP(C603,Customers!$A$2:$A$1001,Customers!$B$2:$B$1001,0)</f>
        <v>Aurelia Burgwin</v>
      </c>
      <c r="G603" s="2" t="str">
        <f>IF(_xlfn.XLOOKUP(C603,Customers!$A$2:$A$1001,Customers!$C$2:$C$1001)=0,"",_xlfn.XLOOKUP(C603,Customers!$A$2:$A$1001,Customers!$C$2:$C$1001))</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_xlfn.XLOOKUP(Orders[[#This Row],[Customer ID]],Customers!$A$2:$A$1001,Customers!$I$2:$I$1001,0)</f>
        <v>Yes</v>
      </c>
    </row>
    <row r="604" spans="1:16" x14ac:dyDescent="0.3">
      <c r="A604" s="2" t="s">
        <v>3889</v>
      </c>
      <c r="B604" s="3">
        <v>43603</v>
      </c>
      <c r="C604" s="2" t="s">
        <v>3890</v>
      </c>
      <c r="D604" t="s">
        <v>6184</v>
      </c>
      <c r="E604" s="2">
        <v>5</v>
      </c>
      <c r="F604" s="2" t="str">
        <f>_xlfn.XLOOKUP(C604,Customers!$A$2:$A$1001,Customers!$B$2:$B$1001,0)</f>
        <v>Emalee Rolin</v>
      </c>
      <c r="G604" s="2" t="str">
        <f>IF(_xlfn.XLOOKUP(C604,Customers!$A$2:$A$1001,Customers!$C$2:$C$1001)=0,"",_xlfn.XLOOKUP(C604,Customers!$A$2:$A$1001,Customers!$C$2:$C$1001))</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_xlfn.XLOOKUP(Orders[[#This Row],[Customer ID]],Customers!$A$2:$A$1001,Customers!$I$2:$I$1001,0)</f>
        <v>Yes</v>
      </c>
    </row>
    <row r="605" spans="1:16" x14ac:dyDescent="0.3">
      <c r="A605" s="2" t="s">
        <v>3895</v>
      </c>
      <c r="B605" s="3">
        <v>43660</v>
      </c>
      <c r="C605" s="2" t="s">
        <v>3896</v>
      </c>
      <c r="D605" t="s">
        <v>6174</v>
      </c>
      <c r="E605" s="2">
        <v>3</v>
      </c>
      <c r="F605" s="2" t="str">
        <f>_xlfn.XLOOKUP(C605,Customers!$A$2:$A$1001,Customers!$B$2:$B$1001,0)</f>
        <v>Donavon Fowle</v>
      </c>
      <c r="G605" s="2" t="str">
        <f>IF(_xlfn.XLOOKUP(C605,Customers!$A$2:$A$1001,Customers!$C$2:$C$1001)=0,"",_xlfn.XLOOKUP(C605,Customers!$A$2:$A$1001,Customers!$C$2:$C$1001))</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_xlfn.XLOOKUP(Orders[[#This Row],[Customer ID]],Customers!$A$2:$A$1001,Customers!$I$2:$I$1001,0)</f>
        <v>No</v>
      </c>
    </row>
    <row r="606" spans="1:16" x14ac:dyDescent="0.3">
      <c r="A606" s="2" t="s">
        <v>3900</v>
      </c>
      <c r="B606" s="3">
        <v>44148</v>
      </c>
      <c r="C606" s="2" t="s">
        <v>3901</v>
      </c>
      <c r="D606" t="s">
        <v>6165</v>
      </c>
      <c r="E606" s="2">
        <v>4</v>
      </c>
      <c r="F606" s="2" t="str">
        <f>_xlfn.XLOOKUP(C606,Customers!$A$2:$A$1001,Customers!$B$2:$B$1001,0)</f>
        <v>Jorge Bettison</v>
      </c>
      <c r="G606" s="2" t="str">
        <f>IF(_xlfn.XLOOKUP(C606,Customers!$A$2:$A$1001,Customers!$C$2:$C$1001)=0,"",_xlfn.XLOOKUP(C606,Customers!$A$2:$A$1001,Customers!$C$2:$C$1001))</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_xlfn.XLOOKUP(Orders[[#This Row],[Customer ID]],Customers!$A$2:$A$1001,Customers!$I$2:$I$1001,0)</f>
        <v>No</v>
      </c>
    </row>
    <row r="607" spans="1:16" x14ac:dyDescent="0.3">
      <c r="A607" s="2" t="s">
        <v>3905</v>
      </c>
      <c r="B607" s="3">
        <v>44028</v>
      </c>
      <c r="C607" s="2" t="s">
        <v>3906</v>
      </c>
      <c r="D607" t="s">
        <v>6182</v>
      </c>
      <c r="E607" s="2">
        <v>5</v>
      </c>
      <c r="F607" s="2" t="str">
        <f>_xlfn.XLOOKUP(C607,Customers!$A$2:$A$1001,Customers!$B$2:$B$1001,0)</f>
        <v>Wang Powlesland</v>
      </c>
      <c r="G607" s="2" t="str">
        <f>IF(_xlfn.XLOOKUP(C607,Customers!$A$2:$A$1001,Customers!$C$2:$C$1001)=0,"",_xlfn.XLOOKUP(C607,Customers!$A$2:$A$1001,Customers!$C$2:$C$1001))</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_xlfn.XLOOKUP(Orders[[#This Row],[Customer ID]],Customers!$A$2:$A$1001,Customers!$I$2:$I$1001,0)</f>
        <v>Yes</v>
      </c>
    </row>
    <row r="608" spans="1:16" x14ac:dyDescent="0.3">
      <c r="A608" s="2" t="s">
        <v>3911</v>
      </c>
      <c r="B608" s="3">
        <v>44138</v>
      </c>
      <c r="C608" s="2" t="s">
        <v>3840</v>
      </c>
      <c r="D608" t="s">
        <v>6164</v>
      </c>
      <c r="E608" s="2">
        <v>3</v>
      </c>
      <c r="F608" s="2" t="str">
        <f>_xlfn.XLOOKUP(C608,Customers!$A$2:$A$1001,Customers!$B$2:$B$1001,0)</f>
        <v>Cody Verissimo</v>
      </c>
      <c r="G608" s="2" t="str">
        <f>IF(_xlfn.XLOOKUP(C608,Customers!$A$2:$A$1001,Customers!$C$2:$C$1001)=0,"",_xlfn.XLOOKUP(C608,Customers!$A$2:$A$1001,Customers!$C$2:$C$1001))</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_xlfn.XLOOKUP(Orders[[#This Row],[Customer ID]],Customers!$A$2:$A$1001,Customers!$I$2:$I$1001,0)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IF(_xlfn.XLOOKUP(C609,Customers!$A$2:$A$1001,Customers!$C$2:$C$1001)=0,"",_xlfn.XLOOKUP(C609,Customers!$A$2:$A$1001,Customers!$C$2:$C$1001))</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_xlfn.XLOOKUP(Orders[[#This Row],[Customer ID]],Customers!$A$2:$A$1001,Customers!$I$2:$I$1001,0)</f>
        <v>Yes</v>
      </c>
    </row>
    <row r="610" spans="1:16" x14ac:dyDescent="0.3">
      <c r="A610" s="2" t="s">
        <v>3923</v>
      </c>
      <c r="B610" s="3">
        <v>44608</v>
      </c>
      <c r="C610" s="2" t="s">
        <v>3924</v>
      </c>
      <c r="D610" t="s">
        <v>6185</v>
      </c>
      <c r="E610" s="2">
        <v>2</v>
      </c>
      <c r="F610" s="2" t="str">
        <f>_xlfn.XLOOKUP(C610,Customers!$A$2:$A$1001,Customers!$B$2:$B$1001,0)</f>
        <v>Billy Neiland</v>
      </c>
      <c r="G610" s="2" t="str">
        <f>IF(_xlfn.XLOOKUP(C610,Customers!$A$2:$A$1001,Customers!$C$2:$C$1001)=0,"",_xlfn.XLOOKUP(C610,Customers!$A$2:$A$1001,Customers!$C$2:$C$1001))</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_xlfn.XLOOKUP(Orders[[#This Row],[Customer ID]],Customers!$A$2:$A$1001,Customers!$I$2:$I$1001,0)</f>
        <v>No</v>
      </c>
    </row>
    <row r="611" spans="1:16" x14ac:dyDescent="0.3">
      <c r="A611" s="2" t="s">
        <v>3927</v>
      </c>
      <c r="B611" s="3">
        <v>44147</v>
      </c>
      <c r="C611" s="2" t="s">
        <v>3928</v>
      </c>
      <c r="D611" t="s">
        <v>6159</v>
      </c>
      <c r="E611" s="2">
        <v>6</v>
      </c>
      <c r="F611" s="2" t="str">
        <f>_xlfn.XLOOKUP(C611,Customers!$A$2:$A$1001,Customers!$B$2:$B$1001,0)</f>
        <v>Ancell Fendt</v>
      </c>
      <c r="G611" s="2" t="str">
        <f>IF(_xlfn.XLOOKUP(C611,Customers!$A$2:$A$1001,Customers!$C$2:$C$1001)=0,"",_xlfn.XLOOKUP(C611,Customers!$A$2:$A$1001,Customers!$C$2:$C$1001))</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_xlfn.XLOOKUP(Orders[[#This Row],[Customer ID]],Customers!$A$2:$A$1001,Customers!$I$2:$I$1001,0)</f>
        <v>Yes</v>
      </c>
    </row>
    <row r="612" spans="1:16" x14ac:dyDescent="0.3">
      <c r="A612" s="2" t="s">
        <v>3933</v>
      </c>
      <c r="B612" s="3">
        <v>43743</v>
      </c>
      <c r="C612" s="2" t="s">
        <v>3934</v>
      </c>
      <c r="D612" t="s">
        <v>6138</v>
      </c>
      <c r="E612" s="2">
        <v>4</v>
      </c>
      <c r="F612" s="2" t="str">
        <f>_xlfn.XLOOKUP(C612,Customers!$A$2:$A$1001,Customers!$B$2:$B$1001,0)</f>
        <v>Angelia Cleyburn</v>
      </c>
      <c r="G612" s="2" t="str">
        <f>IF(_xlfn.XLOOKUP(C612,Customers!$A$2:$A$1001,Customers!$C$2:$C$1001)=0,"",_xlfn.XLOOKUP(C612,Customers!$A$2:$A$1001,Customers!$C$2:$C$1001))</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_xlfn.XLOOKUP(Orders[[#This Row],[Customer ID]],Customers!$A$2:$A$1001,Customers!$I$2:$I$1001,0)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IF(_xlfn.XLOOKUP(C613,Customers!$A$2:$A$1001,Customers!$C$2:$C$1001)=0,"",_xlfn.XLOOKUP(C613,Customers!$A$2:$A$1001,Customers!$C$2:$C$1001))</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_xlfn.XLOOKUP(Orders[[#This Row],[Customer ID]],Customers!$A$2:$A$1001,Customers!$I$2:$I$1001,0)</f>
        <v>No</v>
      </c>
    </row>
    <row r="614" spans="1:16" x14ac:dyDescent="0.3">
      <c r="A614" s="2" t="s">
        <v>3945</v>
      </c>
      <c r="B614" s="3">
        <v>43896</v>
      </c>
      <c r="C614" s="2" t="s">
        <v>3946</v>
      </c>
      <c r="D614" t="s">
        <v>6152</v>
      </c>
      <c r="E614" s="2">
        <v>4</v>
      </c>
      <c r="F614" s="2" t="str">
        <f>_xlfn.XLOOKUP(C614,Customers!$A$2:$A$1001,Customers!$B$2:$B$1001,0)</f>
        <v>Betti Lacasa</v>
      </c>
      <c r="G614" s="2" t="str">
        <f>IF(_xlfn.XLOOKUP(C614,Customers!$A$2:$A$1001,Customers!$C$2:$C$1001)=0,"",_xlfn.XLOOKUP(C614,Customers!$A$2:$A$1001,Customers!$C$2:$C$1001))</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_xlfn.XLOOKUP(Orders[[#This Row],[Customer ID]],Customers!$A$2:$A$1001,Customers!$I$2:$I$1001,0)</f>
        <v>No</v>
      </c>
    </row>
    <row r="615" spans="1:16" x14ac:dyDescent="0.3">
      <c r="A615" s="2" t="s">
        <v>3950</v>
      </c>
      <c r="B615" s="3">
        <v>43761</v>
      </c>
      <c r="C615" s="2" t="s">
        <v>3951</v>
      </c>
      <c r="D615" t="s">
        <v>6146</v>
      </c>
      <c r="E615" s="2">
        <v>1</v>
      </c>
      <c r="F615" s="2" t="str">
        <f>_xlfn.XLOOKUP(C615,Customers!$A$2:$A$1001,Customers!$B$2:$B$1001,0)</f>
        <v>Gunilla Lynch</v>
      </c>
      <c r="G615" s="2" t="str">
        <f>IF(_xlfn.XLOOKUP(C615,Customers!$A$2:$A$1001,Customers!$C$2:$C$1001)=0,"",_xlfn.XLOOKUP(C615,Customers!$A$2:$A$1001,Customers!$C$2:$C$1001))</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_xlfn.XLOOKUP(Orders[[#This Row],[Customer ID]],Customers!$A$2:$A$1001,Customers!$I$2:$I$1001,0)</f>
        <v>No</v>
      </c>
    </row>
    <row r="616" spans="1:16" x14ac:dyDescent="0.3">
      <c r="A616" s="2" t="s">
        <v>3955</v>
      </c>
      <c r="B616" s="3">
        <v>43944</v>
      </c>
      <c r="C616" s="2" t="s">
        <v>3840</v>
      </c>
      <c r="D616" t="s">
        <v>6146</v>
      </c>
      <c r="E616" s="2">
        <v>5</v>
      </c>
      <c r="F616" s="2" t="str">
        <f>_xlfn.XLOOKUP(C616,Customers!$A$2:$A$1001,Customers!$B$2:$B$1001,0)</f>
        <v>Cody Verissimo</v>
      </c>
      <c r="G616" s="2" t="str">
        <f>IF(_xlfn.XLOOKUP(C616,Customers!$A$2:$A$1001,Customers!$C$2:$C$1001)=0,"",_xlfn.XLOOKUP(C616,Customers!$A$2:$A$1001,Customers!$C$2:$C$1001))</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_xlfn.XLOOKUP(Orders[[#This Row],[Customer ID]],Customers!$A$2:$A$1001,Customers!$I$2:$I$1001,0)</f>
        <v>Yes</v>
      </c>
    </row>
    <row r="617" spans="1:16" x14ac:dyDescent="0.3">
      <c r="A617" s="2" t="s">
        <v>3960</v>
      </c>
      <c r="B617" s="3">
        <v>44006</v>
      </c>
      <c r="C617" s="2" t="s">
        <v>3961</v>
      </c>
      <c r="D617" t="s">
        <v>6164</v>
      </c>
      <c r="E617" s="2">
        <v>2</v>
      </c>
      <c r="F617" s="2" t="str">
        <f>_xlfn.XLOOKUP(C617,Customers!$A$2:$A$1001,Customers!$B$2:$B$1001,0)</f>
        <v>Shay Couronne</v>
      </c>
      <c r="G617" s="2" t="str">
        <f>IF(_xlfn.XLOOKUP(C617,Customers!$A$2:$A$1001,Customers!$C$2:$C$1001)=0,"",_xlfn.XLOOKUP(C617,Customers!$A$2:$A$1001,Customers!$C$2:$C$1001))</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_xlfn.XLOOKUP(Orders[[#This Row],[Customer ID]],Customers!$A$2:$A$1001,Customers!$I$2:$I$1001,0)</f>
        <v>Yes</v>
      </c>
    </row>
    <row r="618" spans="1:16" x14ac:dyDescent="0.3">
      <c r="A618" s="2" t="s">
        <v>3966</v>
      </c>
      <c r="B618" s="3">
        <v>44271</v>
      </c>
      <c r="C618" s="2" t="s">
        <v>3967</v>
      </c>
      <c r="D618" t="s">
        <v>6166</v>
      </c>
      <c r="E618" s="2">
        <v>4</v>
      </c>
      <c r="F618" s="2" t="str">
        <f>_xlfn.XLOOKUP(C618,Customers!$A$2:$A$1001,Customers!$B$2:$B$1001,0)</f>
        <v>Linus Flippelli</v>
      </c>
      <c r="G618" s="2" t="str">
        <f>IF(_xlfn.XLOOKUP(C618,Customers!$A$2:$A$1001,Customers!$C$2:$C$1001)=0,"",_xlfn.XLOOKUP(C618,Customers!$A$2:$A$1001,Customers!$C$2:$C$1001))</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_xlfn.XLOOKUP(Orders[[#This Row],[Customer ID]],Customers!$A$2:$A$1001,Customers!$I$2:$I$1001,0)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IF(_xlfn.XLOOKUP(C619,Customers!$A$2:$A$1001,Customers!$C$2:$C$1001)=0,"",_xlfn.XLOOKUP(C619,Customers!$A$2:$A$1001,Customers!$C$2:$C$1001))</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_xlfn.XLOOKUP(Orders[[#This Row],[Customer ID]],Customers!$A$2:$A$1001,Customers!$I$2:$I$1001,0)</f>
        <v>No</v>
      </c>
    </row>
    <row r="620" spans="1:16" x14ac:dyDescent="0.3">
      <c r="A620" s="2" t="s">
        <v>3978</v>
      </c>
      <c r="B620" s="3">
        <v>44469</v>
      </c>
      <c r="C620" s="2" t="s">
        <v>3979</v>
      </c>
      <c r="D620" t="s">
        <v>6183</v>
      </c>
      <c r="E620" s="2">
        <v>6</v>
      </c>
      <c r="F620" s="2" t="str">
        <f>_xlfn.XLOOKUP(C620,Customers!$A$2:$A$1001,Customers!$B$2:$B$1001,0)</f>
        <v>Innis Renhard</v>
      </c>
      <c r="G620" s="2" t="str">
        <f>IF(_xlfn.XLOOKUP(C620,Customers!$A$2:$A$1001,Customers!$C$2:$C$1001)=0,"",_xlfn.XLOOKUP(C620,Customers!$A$2:$A$1001,Customers!$C$2:$C$1001))</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_xlfn.XLOOKUP(Orders[[#This Row],[Customer ID]],Customers!$A$2:$A$1001,Customers!$I$2:$I$1001,0)</f>
        <v>Yes</v>
      </c>
    </row>
    <row r="621" spans="1:16" x14ac:dyDescent="0.3">
      <c r="A621" s="2" t="s">
        <v>3984</v>
      </c>
      <c r="B621" s="3">
        <v>44682</v>
      </c>
      <c r="C621" s="2" t="s">
        <v>3985</v>
      </c>
      <c r="D621" t="s">
        <v>6169</v>
      </c>
      <c r="E621" s="2">
        <v>2</v>
      </c>
      <c r="F621" s="2" t="str">
        <f>_xlfn.XLOOKUP(C621,Customers!$A$2:$A$1001,Customers!$B$2:$B$1001,0)</f>
        <v>Winne Roche</v>
      </c>
      <c r="G621" s="2" t="str">
        <f>IF(_xlfn.XLOOKUP(C621,Customers!$A$2:$A$1001,Customers!$C$2:$C$1001)=0,"",_xlfn.XLOOKUP(C621,Customers!$A$2:$A$1001,Customers!$C$2:$C$1001))</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_xlfn.XLOOKUP(Orders[[#This Row],[Customer ID]],Customers!$A$2:$A$1001,Customers!$I$2:$I$1001,0)</f>
        <v>Yes</v>
      </c>
    </row>
    <row r="622" spans="1:16" x14ac:dyDescent="0.3">
      <c r="A622" s="2" t="s">
        <v>3990</v>
      </c>
      <c r="B622" s="3">
        <v>44217</v>
      </c>
      <c r="C622" s="2" t="s">
        <v>4042</v>
      </c>
      <c r="D622" t="s">
        <v>6152</v>
      </c>
      <c r="E622" s="2">
        <v>6</v>
      </c>
      <c r="F622" s="2" t="str">
        <f>_xlfn.XLOOKUP(C622,Customers!$A$2:$A$1001,Customers!$B$2:$B$1001,0)</f>
        <v>Linn Alaway</v>
      </c>
      <c r="G622" s="2" t="str">
        <f>IF(_xlfn.XLOOKUP(C622,Customers!$A$2:$A$1001,Customers!$C$2:$C$1001)=0,"",_xlfn.XLOOKUP(C622,Customers!$A$2:$A$1001,Customers!$C$2:$C$1001))</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_xlfn.XLOOKUP(Orders[[#This Row],[Customer ID]],Customers!$A$2:$A$1001,Customers!$I$2:$I$1001,0)</f>
        <v>No</v>
      </c>
    </row>
    <row r="623" spans="1:16" x14ac:dyDescent="0.3">
      <c r="A623" s="2" t="s">
        <v>3996</v>
      </c>
      <c r="B623" s="3">
        <v>44006</v>
      </c>
      <c r="C623" s="2" t="s">
        <v>3997</v>
      </c>
      <c r="D623" t="s">
        <v>6140</v>
      </c>
      <c r="E623" s="2">
        <v>6</v>
      </c>
      <c r="F623" s="2" t="str">
        <f>_xlfn.XLOOKUP(C623,Customers!$A$2:$A$1001,Customers!$B$2:$B$1001,0)</f>
        <v>Cordy Odgaard</v>
      </c>
      <c r="G623" s="2" t="str">
        <f>IF(_xlfn.XLOOKUP(C623,Customers!$A$2:$A$1001,Customers!$C$2:$C$1001)=0,"",_xlfn.XLOOKUP(C623,Customers!$A$2:$A$1001,Customers!$C$2:$C$1001))</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_xlfn.XLOOKUP(Orders[[#This Row],[Customer ID]],Customers!$A$2:$A$1001,Customers!$I$2:$I$1001,0)</f>
        <v>No</v>
      </c>
    </row>
    <row r="624" spans="1:16" x14ac:dyDescent="0.3">
      <c r="A624" s="2" t="s">
        <v>4002</v>
      </c>
      <c r="B624" s="3">
        <v>43527</v>
      </c>
      <c r="C624" s="2" t="s">
        <v>4003</v>
      </c>
      <c r="D624" t="s">
        <v>6181</v>
      </c>
      <c r="E624" s="2">
        <v>4</v>
      </c>
      <c r="F624" s="2" t="str">
        <f>_xlfn.XLOOKUP(C624,Customers!$A$2:$A$1001,Customers!$B$2:$B$1001,0)</f>
        <v>Bertine Byrd</v>
      </c>
      <c r="G624" s="2" t="str">
        <f>IF(_xlfn.XLOOKUP(C624,Customers!$A$2:$A$1001,Customers!$C$2:$C$1001)=0,"",_xlfn.XLOOKUP(C624,Customers!$A$2:$A$1001,Customers!$C$2:$C$1001))</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_xlfn.XLOOKUP(Orders[[#This Row],[Customer ID]],Customers!$A$2:$A$1001,Customers!$I$2:$I$1001,0)</f>
        <v>No</v>
      </c>
    </row>
    <row r="625" spans="1:16" x14ac:dyDescent="0.3">
      <c r="A625" s="2" t="s">
        <v>4007</v>
      </c>
      <c r="B625" s="3">
        <v>44224</v>
      </c>
      <c r="C625" s="2" t="s">
        <v>4008</v>
      </c>
      <c r="D625" t="s">
        <v>6183</v>
      </c>
      <c r="E625" s="2">
        <v>1</v>
      </c>
      <c r="F625" s="2" t="str">
        <f>_xlfn.XLOOKUP(C625,Customers!$A$2:$A$1001,Customers!$B$2:$B$1001,0)</f>
        <v>Nelie Garnson</v>
      </c>
      <c r="G625" s="2" t="str">
        <f>IF(_xlfn.XLOOKUP(C625,Customers!$A$2:$A$1001,Customers!$C$2:$C$1001)=0,"",_xlfn.XLOOKUP(C625,Customers!$A$2:$A$1001,Customers!$C$2:$C$1001))</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_xlfn.XLOOKUP(Orders[[#This Row],[Customer ID]],Customers!$A$2:$A$1001,Customers!$I$2:$I$1001,0)</f>
        <v>No</v>
      </c>
    </row>
    <row r="626" spans="1:16" x14ac:dyDescent="0.3">
      <c r="A626" s="2" t="s">
        <v>4012</v>
      </c>
      <c r="B626" s="3">
        <v>44010</v>
      </c>
      <c r="C626" s="2" t="s">
        <v>4013</v>
      </c>
      <c r="D626" t="s">
        <v>6166</v>
      </c>
      <c r="E626" s="2">
        <v>2</v>
      </c>
      <c r="F626" s="2" t="str">
        <f>_xlfn.XLOOKUP(C626,Customers!$A$2:$A$1001,Customers!$B$2:$B$1001,0)</f>
        <v>Dianne Chardin</v>
      </c>
      <c r="G626" s="2" t="str">
        <f>IF(_xlfn.XLOOKUP(C626,Customers!$A$2:$A$1001,Customers!$C$2:$C$1001)=0,"",_xlfn.XLOOKUP(C626,Customers!$A$2:$A$1001,Customers!$C$2:$C$1001))</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_xlfn.XLOOKUP(Orders[[#This Row],[Customer ID]],Customers!$A$2:$A$1001,Customers!$I$2:$I$1001,0)</f>
        <v>Yes</v>
      </c>
    </row>
    <row r="627" spans="1:16" x14ac:dyDescent="0.3">
      <c r="A627" s="2" t="s">
        <v>4017</v>
      </c>
      <c r="B627" s="3">
        <v>44017</v>
      </c>
      <c r="C627" s="2" t="s">
        <v>4018</v>
      </c>
      <c r="D627" t="s">
        <v>6173</v>
      </c>
      <c r="E627" s="2">
        <v>5</v>
      </c>
      <c r="F627" s="2" t="str">
        <f>_xlfn.XLOOKUP(C627,Customers!$A$2:$A$1001,Customers!$B$2:$B$1001,0)</f>
        <v>Hailee Radbone</v>
      </c>
      <c r="G627" s="2" t="str">
        <f>IF(_xlfn.XLOOKUP(C627,Customers!$A$2:$A$1001,Customers!$C$2:$C$1001)=0,"",_xlfn.XLOOKUP(C627,Customers!$A$2:$A$1001,Customers!$C$2:$C$1001))</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_xlfn.XLOOKUP(Orders[[#This Row],[Customer ID]],Customers!$A$2:$A$1001,Customers!$I$2:$I$1001,0)</f>
        <v>No</v>
      </c>
    </row>
    <row r="628" spans="1:16" x14ac:dyDescent="0.3">
      <c r="A628" s="2" t="s">
        <v>4023</v>
      </c>
      <c r="B628" s="3">
        <v>43526</v>
      </c>
      <c r="C628" s="2" t="s">
        <v>4024</v>
      </c>
      <c r="D628" t="s">
        <v>6175</v>
      </c>
      <c r="E628" s="2">
        <v>3</v>
      </c>
      <c r="F628" s="2" t="str">
        <f>_xlfn.XLOOKUP(C628,Customers!$A$2:$A$1001,Customers!$B$2:$B$1001,0)</f>
        <v>Wallis Bernth</v>
      </c>
      <c r="G628" s="2" t="str">
        <f>IF(_xlfn.XLOOKUP(C628,Customers!$A$2:$A$1001,Customers!$C$2:$C$1001)=0,"",_xlfn.XLOOKUP(C628,Customers!$A$2:$A$1001,Customers!$C$2:$C$1001))</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_xlfn.XLOOKUP(Orders[[#This Row],[Customer ID]],Customers!$A$2:$A$1001,Customers!$I$2:$I$1001,0)</f>
        <v>No</v>
      </c>
    </row>
    <row r="629" spans="1:16" x14ac:dyDescent="0.3">
      <c r="A629" s="2" t="s">
        <v>4029</v>
      </c>
      <c r="B629" s="3">
        <v>44682</v>
      </c>
      <c r="C629" s="2" t="s">
        <v>4030</v>
      </c>
      <c r="D629" t="s">
        <v>6166</v>
      </c>
      <c r="E629" s="2">
        <v>2</v>
      </c>
      <c r="F629" s="2" t="str">
        <f>_xlfn.XLOOKUP(C629,Customers!$A$2:$A$1001,Customers!$B$2:$B$1001,0)</f>
        <v>Byron Acarson</v>
      </c>
      <c r="G629" s="2" t="str">
        <f>IF(_xlfn.XLOOKUP(C629,Customers!$A$2:$A$1001,Customers!$C$2:$C$1001)=0,"",_xlfn.XLOOKUP(C629,Customers!$A$2:$A$1001,Customers!$C$2:$C$1001))</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_xlfn.XLOOKUP(Orders[[#This Row],[Customer ID]],Customers!$A$2:$A$1001,Customers!$I$2:$I$1001,0)</f>
        <v>Yes</v>
      </c>
    </row>
    <row r="630" spans="1:16" x14ac:dyDescent="0.3">
      <c r="A630" s="2" t="s">
        <v>4035</v>
      </c>
      <c r="B630" s="3">
        <v>44680</v>
      </c>
      <c r="C630" s="2" t="s">
        <v>4036</v>
      </c>
      <c r="D630" t="s">
        <v>6184</v>
      </c>
      <c r="E630" s="2">
        <v>6</v>
      </c>
      <c r="F630" s="2" t="str">
        <f>_xlfn.XLOOKUP(C630,Customers!$A$2:$A$1001,Customers!$B$2:$B$1001,0)</f>
        <v>Faunie Brigham</v>
      </c>
      <c r="G630" s="2" t="str">
        <f>IF(_xlfn.XLOOKUP(C630,Customers!$A$2:$A$1001,Customers!$C$2:$C$1001)=0,"",_xlfn.XLOOKUP(C630,Customers!$A$2:$A$1001,Customers!$C$2:$C$1001))</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_xlfn.XLOOKUP(Orders[[#This Row],[Customer ID]],Customers!$A$2:$A$1001,Customers!$I$2:$I$1001,0)</f>
        <v>Yes</v>
      </c>
    </row>
    <row r="631" spans="1:16" x14ac:dyDescent="0.3">
      <c r="A631" s="2" t="s">
        <v>4035</v>
      </c>
      <c r="B631" s="3">
        <v>44680</v>
      </c>
      <c r="C631" s="2" t="s">
        <v>4036</v>
      </c>
      <c r="D631" t="s">
        <v>6169</v>
      </c>
      <c r="E631" s="2">
        <v>4</v>
      </c>
      <c r="F631" s="2" t="str">
        <f>_xlfn.XLOOKUP(C631,Customers!$A$2:$A$1001,Customers!$B$2:$B$1001,0)</f>
        <v>Faunie Brigham</v>
      </c>
      <c r="G631" s="2" t="str">
        <f>IF(_xlfn.XLOOKUP(C631,Customers!$A$2:$A$1001,Customers!$C$2:$C$1001)=0,"",_xlfn.XLOOKUP(C631,Customers!$A$2:$A$1001,Customers!$C$2:$C$1001))</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_xlfn.XLOOKUP(Orders[[#This Row],[Customer ID]],Customers!$A$2:$A$1001,Customers!$I$2:$I$1001,0)</f>
        <v>Yes</v>
      </c>
    </row>
    <row r="632" spans="1:16" x14ac:dyDescent="0.3">
      <c r="A632" s="2" t="s">
        <v>4035</v>
      </c>
      <c r="B632" s="3">
        <v>44680</v>
      </c>
      <c r="C632" s="2" t="s">
        <v>4036</v>
      </c>
      <c r="D632" t="s">
        <v>6154</v>
      </c>
      <c r="E632" s="2">
        <v>1</v>
      </c>
      <c r="F632" s="2" t="str">
        <f>_xlfn.XLOOKUP(C632,Customers!$A$2:$A$1001,Customers!$B$2:$B$1001,0)</f>
        <v>Faunie Brigham</v>
      </c>
      <c r="G632" s="2" t="str">
        <f>IF(_xlfn.XLOOKUP(C632,Customers!$A$2:$A$1001,Customers!$C$2:$C$1001)=0,"",_xlfn.XLOOKUP(C632,Customers!$A$2:$A$1001,Customers!$C$2:$C$1001))</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_xlfn.XLOOKUP(Orders[[#This Row],[Customer ID]],Customers!$A$2:$A$1001,Customers!$I$2:$I$1001,0)</f>
        <v>Yes</v>
      </c>
    </row>
    <row r="633" spans="1:16" x14ac:dyDescent="0.3">
      <c r="A633" s="2" t="s">
        <v>4035</v>
      </c>
      <c r="B633" s="3">
        <v>44680</v>
      </c>
      <c r="C633" s="2" t="s">
        <v>4036</v>
      </c>
      <c r="D633" t="s">
        <v>6149</v>
      </c>
      <c r="E633" s="2">
        <v>5</v>
      </c>
      <c r="F633" s="2" t="str">
        <f>_xlfn.XLOOKUP(C633,Customers!$A$2:$A$1001,Customers!$B$2:$B$1001,0)</f>
        <v>Faunie Brigham</v>
      </c>
      <c r="G633" s="2" t="str">
        <f>IF(_xlfn.XLOOKUP(C633,Customers!$A$2:$A$1001,Customers!$C$2:$C$1001)=0,"",_xlfn.XLOOKUP(C633,Customers!$A$2:$A$1001,Customers!$C$2:$C$1001))</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_xlfn.XLOOKUP(Orders[[#This Row],[Customer ID]],Customers!$A$2:$A$1001,Customers!$I$2:$I$1001,0)</f>
        <v>Yes</v>
      </c>
    </row>
    <row r="634" spans="1:16" x14ac:dyDescent="0.3">
      <c r="A634" s="2" t="s">
        <v>4056</v>
      </c>
      <c r="B634" s="3">
        <v>44049</v>
      </c>
      <c r="C634" s="2" t="s">
        <v>4057</v>
      </c>
      <c r="D634" t="s">
        <v>6176</v>
      </c>
      <c r="E634" s="2">
        <v>4</v>
      </c>
      <c r="F634" s="2" t="str">
        <f>_xlfn.XLOOKUP(C634,Customers!$A$2:$A$1001,Customers!$B$2:$B$1001,0)</f>
        <v>Marjorie Yoxen</v>
      </c>
      <c r="G634" s="2" t="str">
        <f>IF(_xlfn.XLOOKUP(C634,Customers!$A$2:$A$1001,Customers!$C$2:$C$1001)=0,"",_xlfn.XLOOKUP(C634,Customers!$A$2:$A$1001,Customers!$C$2:$C$1001))</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_xlfn.XLOOKUP(Orders[[#This Row],[Customer ID]],Customers!$A$2:$A$1001,Customers!$I$2:$I$1001,0)</f>
        <v>No</v>
      </c>
    </row>
    <row r="635" spans="1:16" x14ac:dyDescent="0.3">
      <c r="A635" s="2" t="s">
        <v>4062</v>
      </c>
      <c r="B635" s="3">
        <v>43820</v>
      </c>
      <c r="C635" s="2" t="s">
        <v>4063</v>
      </c>
      <c r="D635" t="s">
        <v>6179</v>
      </c>
      <c r="E635" s="2">
        <v>4</v>
      </c>
      <c r="F635" s="2" t="str">
        <f>_xlfn.XLOOKUP(C635,Customers!$A$2:$A$1001,Customers!$B$2:$B$1001,0)</f>
        <v>Gaspar McGavin</v>
      </c>
      <c r="G635" s="2" t="str">
        <f>IF(_xlfn.XLOOKUP(C635,Customers!$A$2:$A$1001,Customers!$C$2:$C$1001)=0,"",_xlfn.XLOOKUP(C635,Customers!$A$2:$A$1001,Customers!$C$2:$C$1001))</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_xlfn.XLOOKUP(Orders[[#This Row],[Customer ID]],Customers!$A$2:$A$1001,Customers!$I$2:$I$1001,0)</f>
        <v>No</v>
      </c>
    </row>
    <row r="636" spans="1:16" x14ac:dyDescent="0.3">
      <c r="A636" s="2" t="s">
        <v>4068</v>
      </c>
      <c r="B636" s="3">
        <v>43940</v>
      </c>
      <c r="C636" s="2" t="s">
        <v>4069</v>
      </c>
      <c r="D636" t="s">
        <v>6162</v>
      </c>
      <c r="E636" s="2">
        <v>3</v>
      </c>
      <c r="F636" s="2" t="str">
        <f>_xlfn.XLOOKUP(C636,Customers!$A$2:$A$1001,Customers!$B$2:$B$1001,0)</f>
        <v>Lindy Uttermare</v>
      </c>
      <c r="G636" s="2" t="str">
        <f>IF(_xlfn.XLOOKUP(C636,Customers!$A$2:$A$1001,Customers!$C$2:$C$1001)=0,"",_xlfn.XLOOKUP(C636,Customers!$A$2:$A$1001,Customers!$C$2:$C$1001))</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_xlfn.XLOOKUP(Orders[[#This Row],[Customer ID]],Customers!$A$2:$A$1001,Customers!$I$2:$I$1001,0)</f>
        <v>No</v>
      </c>
    </row>
    <row r="637" spans="1:16" x14ac:dyDescent="0.3">
      <c r="A637" s="2" t="s">
        <v>4074</v>
      </c>
      <c r="B637" s="3">
        <v>44578</v>
      </c>
      <c r="C637" s="2" t="s">
        <v>4075</v>
      </c>
      <c r="D637" t="s">
        <v>6176</v>
      </c>
      <c r="E637" s="2">
        <v>4</v>
      </c>
      <c r="F637" s="2" t="str">
        <f>_xlfn.XLOOKUP(C637,Customers!$A$2:$A$1001,Customers!$B$2:$B$1001,0)</f>
        <v>Eal D'Ambrogio</v>
      </c>
      <c r="G637" s="2" t="str">
        <f>IF(_xlfn.XLOOKUP(C637,Customers!$A$2:$A$1001,Customers!$C$2:$C$1001)=0,"",_xlfn.XLOOKUP(C637,Customers!$A$2:$A$1001,Customers!$C$2:$C$1001))</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_xlfn.XLOOKUP(Orders[[#This Row],[Customer ID]],Customers!$A$2:$A$1001,Customers!$I$2:$I$1001,0)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IF(_xlfn.XLOOKUP(C638,Customers!$A$2:$A$1001,Customers!$C$2:$C$1001)=0,"",_xlfn.XLOOKUP(C638,Customers!$A$2:$A$1001,Customers!$C$2:$C$1001))</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_xlfn.XLOOKUP(Orders[[#This Row],[Customer ID]],Customers!$A$2:$A$1001,Customers!$I$2:$I$1001,0)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IF(_xlfn.XLOOKUP(C639,Customers!$A$2:$A$1001,Customers!$C$2:$C$1001)=0,"",_xlfn.XLOOKUP(C639,Customers!$A$2:$A$1001,Customers!$C$2:$C$1001))</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_xlfn.XLOOKUP(Orders[[#This Row],[Customer ID]],Customers!$A$2:$A$1001,Customers!$I$2:$I$1001,0)</f>
        <v>Yes</v>
      </c>
    </row>
    <row r="640" spans="1:16" x14ac:dyDescent="0.3">
      <c r="A640" s="2" t="s">
        <v>4093</v>
      </c>
      <c r="B640" s="3">
        <v>43684</v>
      </c>
      <c r="C640" s="2" t="s">
        <v>4094</v>
      </c>
      <c r="D640" t="s">
        <v>6175</v>
      </c>
      <c r="E640" s="2">
        <v>3</v>
      </c>
      <c r="F640" s="2" t="str">
        <f>_xlfn.XLOOKUP(C640,Customers!$A$2:$A$1001,Customers!$B$2:$B$1001,0)</f>
        <v>Neville Piatto</v>
      </c>
      <c r="G640" s="2" t="str">
        <f>IF(_xlfn.XLOOKUP(C640,Customers!$A$2:$A$1001,Customers!$C$2:$C$1001)=0,"",_xlfn.XLOOKUP(C640,Customers!$A$2:$A$1001,Customers!$C$2:$C$1001))</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_xlfn.XLOOKUP(Orders[[#This Row],[Customer ID]],Customers!$A$2:$A$1001,Customers!$I$2:$I$1001,0)</f>
        <v>Yes</v>
      </c>
    </row>
    <row r="641" spans="1:16" x14ac:dyDescent="0.3">
      <c r="A641" s="2" t="s">
        <v>4098</v>
      </c>
      <c r="B641" s="3">
        <v>44331</v>
      </c>
      <c r="C641" s="2" t="s">
        <v>4099</v>
      </c>
      <c r="D641" t="s">
        <v>6150</v>
      </c>
      <c r="E641" s="2">
        <v>1</v>
      </c>
      <c r="F641" s="2" t="str">
        <f>_xlfn.XLOOKUP(C641,Customers!$A$2:$A$1001,Customers!$B$2:$B$1001,0)</f>
        <v>Jeno Capey</v>
      </c>
      <c r="G641" s="2" t="str">
        <f>IF(_xlfn.XLOOKUP(C641,Customers!$A$2:$A$1001,Customers!$C$2:$C$1001)=0,"",_xlfn.XLOOKUP(C641,Customers!$A$2:$A$1001,Customers!$C$2:$C$1001))</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_xlfn.XLOOKUP(Orders[[#This Row],[Customer ID]],Customers!$A$2:$A$1001,Customers!$I$2:$I$1001,0)</f>
        <v>Yes</v>
      </c>
    </row>
    <row r="642" spans="1:16" x14ac:dyDescent="0.3">
      <c r="A642" s="2" t="s">
        <v>4104</v>
      </c>
      <c r="B642" s="3">
        <v>44547</v>
      </c>
      <c r="C642" s="2" t="s">
        <v>4152</v>
      </c>
      <c r="D642" t="s">
        <v>6142</v>
      </c>
      <c r="E642" s="2">
        <v>5</v>
      </c>
      <c r="F642" s="2" t="str">
        <f>_xlfn.XLOOKUP(C642,Customers!$A$2:$A$1001,Customers!$B$2:$B$1001,0)</f>
        <v>Tuckie Mathonnet</v>
      </c>
      <c r="G642" s="2" t="str">
        <f>IF(_xlfn.XLOOKUP(C642,Customers!$A$2:$A$1001,Customers!$C$2:$C$1001)=0,"",_xlfn.XLOOKUP(C642,Customers!$A$2:$A$1001,Customers!$C$2:$C$1001))</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ref="M642:M705" si="30">L642*E642</f>
        <v>137.42499999999998</v>
      </c>
      <c r="N642" t="str">
        <f t="shared" ref="N642:N705" si="31">IF(I642="Rob","Robusta",IF(I642="Exc","Excelsa",IF(I642="Ara","Arabica",IF(I642="Lib","Liberica",""))))</f>
        <v>Robusta</v>
      </c>
      <c r="O642" t="str">
        <f t="shared" ref="O642:O705" si="32">IF(J642="M","Medium",IF(J642="L","Light",IF(J642="D","Dark","")))</f>
        <v>Light</v>
      </c>
      <c r="P642" t="str">
        <f>_xlfn.XLOOKUP(Orders[[#This Row],[Customer ID]],Customers!$A$2:$A$1001,Customers!$I$2:$I$1001,0)</f>
        <v>No</v>
      </c>
    </row>
    <row r="643" spans="1:16" x14ac:dyDescent="0.3">
      <c r="A643" s="2" t="s">
        <v>4109</v>
      </c>
      <c r="B643" s="3">
        <v>44448</v>
      </c>
      <c r="C643" s="2" t="s">
        <v>4110</v>
      </c>
      <c r="D643" t="s">
        <v>6179</v>
      </c>
      <c r="E643" s="2">
        <v>3</v>
      </c>
      <c r="F643" s="2" t="str">
        <f>_xlfn.XLOOKUP(C643,Customers!$A$2:$A$1001,Customers!$B$2:$B$1001,0)</f>
        <v>Yardley Basill</v>
      </c>
      <c r="G643" s="2" t="str">
        <f>IF(_xlfn.XLOOKUP(C643,Customers!$A$2:$A$1001,Customers!$C$2:$C$1001)=0,"",_xlfn.XLOOKUP(C643,Customers!$A$2:$A$1001,Customers!$C$2:$C$1001))</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si="30"/>
        <v>35.849999999999994</v>
      </c>
      <c r="N643" t="str">
        <f t="shared" si="31"/>
        <v>Robusta</v>
      </c>
      <c r="O643" t="str">
        <f t="shared" si="32"/>
        <v>Light</v>
      </c>
      <c r="P643" t="str">
        <f>_xlfn.XLOOKUP(Orders[[#This Row],[Customer ID]],Customers!$A$2:$A$1001,Customers!$I$2:$I$1001,0)</f>
        <v>Yes</v>
      </c>
    </row>
    <row r="644" spans="1:16" x14ac:dyDescent="0.3">
      <c r="A644" s="2" t="s">
        <v>4115</v>
      </c>
      <c r="B644" s="3">
        <v>43880</v>
      </c>
      <c r="C644" s="2" t="s">
        <v>4116</v>
      </c>
      <c r="D644" t="s">
        <v>6156</v>
      </c>
      <c r="E644" s="2">
        <v>2</v>
      </c>
      <c r="F644" s="2" t="str">
        <f>_xlfn.XLOOKUP(C644,Customers!$A$2:$A$1001,Customers!$B$2:$B$1001,0)</f>
        <v>Maggy Baistow</v>
      </c>
      <c r="G644" s="2" t="str">
        <f>IF(_xlfn.XLOOKUP(C644,Customers!$A$2:$A$1001,Customers!$C$2:$C$1001)=0,"",_xlfn.XLOOKUP(C644,Customers!$A$2:$A$1001,Customers!$C$2:$C$1001))</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_xlfn.XLOOKUP(Orders[[#This Row],[Customer ID]],Customers!$A$2:$A$1001,Customers!$I$2:$I$1001,0)</f>
        <v>Yes</v>
      </c>
    </row>
    <row r="645" spans="1:16" x14ac:dyDescent="0.3">
      <c r="A645" s="2" t="s">
        <v>4123</v>
      </c>
      <c r="B645" s="3">
        <v>44011</v>
      </c>
      <c r="C645" s="2" t="s">
        <v>4124</v>
      </c>
      <c r="D645" t="s">
        <v>6148</v>
      </c>
      <c r="E645" s="2">
        <v>3</v>
      </c>
      <c r="F645" s="2" t="str">
        <f>_xlfn.XLOOKUP(C645,Customers!$A$2:$A$1001,Customers!$B$2:$B$1001,0)</f>
        <v>Courtney Pallant</v>
      </c>
      <c r="G645" s="2" t="str">
        <f>IF(_xlfn.XLOOKUP(C645,Customers!$A$2:$A$1001,Customers!$C$2:$C$1001)=0,"",_xlfn.XLOOKUP(C645,Customers!$A$2:$A$1001,Customers!$C$2:$C$1001))</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_xlfn.XLOOKUP(Orders[[#This Row],[Customer ID]],Customers!$A$2:$A$1001,Customers!$I$2:$I$1001,0)</f>
        <v>Yes</v>
      </c>
    </row>
    <row r="646" spans="1:16" x14ac:dyDescent="0.3">
      <c r="A646" s="2" t="s">
        <v>4128</v>
      </c>
      <c r="B646" s="3">
        <v>44694</v>
      </c>
      <c r="C646" s="2" t="s">
        <v>4129</v>
      </c>
      <c r="D646" t="s">
        <v>6149</v>
      </c>
      <c r="E646" s="2">
        <v>2</v>
      </c>
      <c r="F646" s="2" t="str">
        <f>_xlfn.XLOOKUP(C646,Customers!$A$2:$A$1001,Customers!$B$2:$B$1001,0)</f>
        <v>Marne Mingey</v>
      </c>
      <c r="G646" s="2" t="str">
        <f>IF(_xlfn.XLOOKUP(C646,Customers!$A$2:$A$1001,Customers!$C$2:$C$1001)=0,"",_xlfn.XLOOKUP(C646,Customers!$A$2:$A$1001,Customers!$C$2:$C$1001))</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_xlfn.XLOOKUP(Orders[[#This Row],[Customer ID]],Customers!$A$2:$A$1001,Customers!$I$2:$I$1001,0)</f>
        <v>No</v>
      </c>
    </row>
    <row r="647" spans="1:16" x14ac:dyDescent="0.3">
      <c r="A647" s="2" t="s">
        <v>4133</v>
      </c>
      <c r="B647" s="3">
        <v>44106</v>
      </c>
      <c r="C647" s="2" t="s">
        <v>4134</v>
      </c>
      <c r="D647" t="s">
        <v>6168</v>
      </c>
      <c r="E647" s="2">
        <v>3</v>
      </c>
      <c r="F647" s="2" t="str">
        <f>_xlfn.XLOOKUP(C647,Customers!$A$2:$A$1001,Customers!$B$2:$B$1001,0)</f>
        <v>Denny O' Ronan</v>
      </c>
      <c r="G647" s="2" t="str">
        <f>IF(_xlfn.XLOOKUP(C647,Customers!$A$2:$A$1001,Customers!$C$2:$C$1001)=0,"",_xlfn.XLOOKUP(C647,Customers!$A$2:$A$1001,Customers!$C$2:$C$1001))</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_xlfn.XLOOKUP(Orders[[#This Row],[Customer ID]],Customers!$A$2:$A$1001,Customers!$I$2:$I$1001,0)</f>
        <v>Yes</v>
      </c>
    </row>
    <row r="648" spans="1:16" x14ac:dyDescent="0.3">
      <c r="A648" s="2" t="s">
        <v>4139</v>
      </c>
      <c r="B648" s="3">
        <v>44532</v>
      </c>
      <c r="C648" s="2" t="s">
        <v>4140</v>
      </c>
      <c r="D648" t="s">
        <v>6147</v>
      </c>
      <c r="E648" s="2">
        <v>1</v>
      </c>
      <c r="F648" s="2" t="str">
        <f>_xlfn.XLOOKUP(C648,Customers!$A$2:$A$1001,Customers!$B$2:$B$1001,0)</f>
        <v>Dottie Rallin</v>
      </c>
      <c r="G648" s="2" t="str">
        <f>IF(_xlfn.XLOOKUP(C648,Customers!$A$2:$A$1001,Customers!$C$2:$C$1001)=0,"",_xlfn.XLOOKUP(C648,Customers!$A$2:$A$1001,Customers!$C$2:$C$1001))</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_xlfn.XLOOKUP(Orders[[#This Row],[Customer ID]],Customers!$A$2:$A$1001,Customers!$I$2:$I$1001,0)</f>
        <v>Yes</v>
      </c>
    </row>
    <row r="649" spans="1:16" x14ac:dyDescent="0.3">
      <c r="A649" s="2" t="s">
        <v>4145</v>
      </c>
      <c r="B649" s="3">
        <v>44502</v>
      </c>
      <c r="C649" s="2" t="s">
        <v>4146</v>
      </c>
      <c r="D649" t="s">
        <v>6161</v>
      </c>
      <c r="E649" s="2">
        <v>3</v>
      </c>
      <c r="F649" s="2" t="str">
        <f>_xlfn.XLOOKUP(C649,Customers!$A$2:$A$1001,Customers!$B$2:$B$1001,0)</f>
        <v>Ardith Chill</v>
      </c>
      <c r="G649" s="2" t="str">
        <f>IF(_xlfn.XLOOKUP(C649,Customers!$A$2:$A$1001,Customers!$C$2:$C$1001)=0,"",_xlfn.XLOOKUP(C649,Customers!$A$2:$A$1001,Customers!$C$2:$C$1001))</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_xlfn.XLOOKUP(Orders[[#This Row],[Customer ID]],Customers!$A$2:$A$1001,Customers!$I$2:$I$1001,0)</f>
        <v>Yes</v>
      </c>
    </row>
    <row r="650" spans="1:16" x14ac:dyDescent="0.3">
      <c r="A650" s="2" t="s">
        <v>4151</v>
      </c>
      <c r="B650" s="3">
        <v>43884</v>
      </c>
      <c r="C650" s="2" t="s">
        <v>4152</v>
      </c>
      <c r="D650" t="s">
        <v>6163</v>
      </c>
      <c r="E650" s="2">
        <v>6</v>
      </c>
      <c r="F650" s="2" t="str">
        <f>_xlfn.XLOOKUP(C650,Customers!$A$2:$A$1001,Customers!$B$2:$B$1001,0)</f>
        <v>Tuckie Mathonnet</v>
      </c>
      <c r="G650" s="2" t="str">
        <f>IF(_xlfn.XLOOKUP(C650,Customers!$A$2:$A$1001,Customers!$C$2:$C$1001)=0,"",_xlfn.XLOOKUP(C650,Customers!$A$2:$A$1001,Customers!$C$2:$C$1001))</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_xlfn.XLOOKUP(Orders[[#This Row],[Customer ID]],Customers!$A$2:$A$1001,Customers!$I$2:$I$1001,0)</f>
        <v>No</v>
      </c>
    </row>
    <row r="651" spans="1:16" x14ac:dyDescent="0.3">
      <c r="A651" s="2" t="s">
        <v>4157</v>
      </c>
      <c r="B651" s="3">
        <v>44015</v>
      </c>
      <c r="C651" s="2" t="s">
        <v>4158</v>
      </c>
      <c r="D651" t="s">
        <v>6170</v>
      </c>
      <c r="E651" s="2">
        <v>6</v>
      </c>
      <c r="F651" s="2" t="str">
        <f>_xlfn.XLOOKUP(C651,Customers!$A$2:$A$1001,Customers!$B$2:$B$1001,0)</f>
        <v>Charmane Denys</v>
      </c>
      <c r="G651" s="2" t="str">
        <f>IF(_xlfn.XLOOKUP(C651,Customers!$A$2:$A$1001,Customers!$C$2:$C$1001)=0,"",_xlfn.XLOOKUP(C651,Customers!$A$2:$A$1001,Customers!$C$2:$C$1001))</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_xlfn.XLOOKUP(Orders[[#This Row],[Customer ID]],Customers!$A$2:$A$1001,Customers!$I$2:$I$1001,0)</f>
        <v>No</v>
      </c>
    </row>
    <row r="652" spans="1:16" x14ac:dyDescent="0.3">
      <c r="A652" s="2" t="s">
        <v>4163</v>
      </c>
      <c r="B652" s="3">
        <v>43507</v>
      </c>
      <c r="C652" s="2" t="s">
        <v>4164</v>
      </c>
      <c r="D652" t="s">
        <v>6172</v>
      </c>
      <c r="E652" s="2">
        <v>1</v>
      </c>
      <c r="F652" s="2" t="str">
        <f>_xlfn.XLOOKUP(C652,Customers!$A$2:$A$1001,Customers!$B$2:$B$1001,0)</f>
        <v>Cecily Stebbings</v>
      </c>
      <c r="G652" s="2" t="str">
        <f>IF(_xlfn.XLOOKUP(C652,Customers!$A$2:$A$1001,Customers!$C$2:$C$1001)=0,"",_xlfn.XLOOKUP(C652,Customers!$A$2:$A$1001,Customers!$C$2:$C$1001))</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_xlfn.XLOOKUP(Orders[[#This Row],[Customer ID]],Customers!$A$2:$A$1001,Customers!$I$2:$I$1001,0)</f>
        <v>Yes</v>
      </c>
    </row>
    <row r="653" spans="1:16" x14ac:dyDescent="0.3">
      <c r="A653" s="2" t="s">
        <v>4169</v>
      </c>
      <c r="B653" s="3">
        <v>44084</v>
      </c>
      <c r="C653" s="2" t="s">
        <v>4170</v>
      </c>
      <c r="D653" t="s">
        <v>6179</v>
      </c>
      <c r="E653" s="2">
        <v>4</v>
      </c>
      <c r="F653" s="2" t="str">
        <f>_xlfn.XLOOKUP(C653,Customers!$A$2:$A$1001,Customers!$B$2:$B$1001,0)</f>
        <v>Giana Tonnesen</v>
      </c>
      <c r="G653" s="2" t="str">
        <f>IF(_xlfn.XLOOKUP(C653,Customers!$A$2:$A$1001,Customers!$C$2:$C$1001)=0,"",_xlfn.XLOOKUP(C653,Customers!$A$2:$A$1001,Customers!$C$2:$C$1001))</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_xlfn.XLOOKUP(Orders[[#This Row],[Customer ID]],Customers!$A$2:$A$1001,Customers!$I$2:$I$1001,0)</f>
        <v>No</v>
      </c>
    </row>
    <row r="654" spans="1:16" x14ac:dyDescent="0.3">
      <c r="A654" s="2" t="s">
        <v>4174</v>
      </c>
      <c r="B654" s="3">
        <v>43892</v>
      </c>
      <c r="C654" s="2" t="s">
        <v>4175</v>
      </c>
      <c r="D654" t="s">
        <v>6170</v>
      </c>
      <c r="E654" s="2">
        <v>4</v>
      </c>
      <c r="F654" s="2" t="str">
        <f>_xlfn.XLOOKUP(C654,Customers!$A$2:$A$1001,Customers!$B$2:$B$1001,0)</f>
        <v>Rhetta Zywicki</v>
      </c>
      <c r="G654" s="2" t="str">
        <f>IF(_xlfn.XLOOKUP(C654,Customers!$A$2:$A$1001,Customers!$C$2:$C$1001)=0,"",_xlfn.XLOOKUP(C654,Customers!$A$2:$A$1001,Customers!$C$2:$C$1001))</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_xlfn.XLOOKUP(Orders[[#This Row],[Customer ID]],Customers!$A$2:$A$1001,Customers!$I$2:$I$1001,0)</f>
        <v>No</v>
      </c>
    </row>
    <row r="655" spans="1:16" x14ac:dyDescent="0.3">
      <c r="A655" s="2" t="s">
        <v>4179</v>
      </c>
      <c r="B655" s="3">
        <v>44375</v>
      </c>
      <c r="C655" s="2" t="s">
        <v>4180</v>
      </c>
      <c r="D655" t="s">
        <v>6175</v>
      </c>
      <c r="E655" s="2">
        <v>4</v>
      </c>
      <c r="F655" s="2" t="str">
        <f>_xlfn.XLOOKUP(C655,Customers!$A$2:$A$1001,Customers!$B$2:$B$1001,0)</f>
        <v>Almeria Burgett</v>
      </c>
      <c r="G655" s="2" t="str">
        <f>IF(_xlfn.XLOOKUP(C655,Customers!$A$2:$A$1001,Customers!$C$2:$C$1001)=0,"",_xlfn.XLOOKUP(C655,Customers!$A$2:$A$1001,Customers!$C$2:$C$1001))</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_xlfn.XLOOKUP(Orders[[#This Row],[Customer ID]],Customers!$A$2:$A$1001,Customers!$I$2:$I$1001,0)</f>
        <v>No</v>
      </c>
    </row>
    <row r="656" spans="1:16" x14ac:dyDescent="0.3">
      <c r="A656" s="2" t="s">
        <v>4185</v>
      </c>
      <c r="B656" s="3">
        <v>43476</v>
      </c>
      <c r="C656" s="2" t="s">
        <v>4186</v>
      </c>
      <c r="D656" t="s">
        <v>6168</v>
      </c>
      <c r="E656" s="2">
        <v>3</v>
      </c>
      <c r="F656" s="2" t="str">
        <f>_xlfn.XLOOKUP(C656,Customers!$A$2:$A$1001,Customers!$B$2:$B$1001,0)</f>
        <v>Marvin Malloy</v>
      </c>
      <c r="G656" s="2" t="str">
        <f>IF(_xlfn.XLOOKUP(C656,Customers!$A$2:$A$1001,Customers!$C$2:$C$1001)=0,"",_xlfn.XLOOKUP(C656,Customers!$A$2:$A$1001,Customers!$C$2:$C$1001))</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_xlfn.XLOOKUP(Orders[[#This Row],[Customer ID]],Customers!$A$2:$A$1001,Customers!$I$2:$I$1001,0)</f>
        <v>No</v>
      </c>
    </row>
    <row r="657" spans="1:16" x14ac:dyDescent="0.3">
      <c r="A657" s="2" t="s">
        <v>4191</v>
      </c>
      <c r="B657" s="3">
        <v>43728</v>
      </c>
      <c r="C657" s="2" t="s">
        <v>4192</v>
      </c>
      <c r="D657" t="s">
        <v>6151</v>
      </c>
      <c r="E657" s="2">
        <v>2</v>
      </c>
      <c r="F657" s="2" t="str">
        <f>_xlfn.XLOOKUP(C657,Customers!$A$2:$A$1001,Customers!$B$2:$B$1001,0)</f>
        <v>Maxim McParland</v>
      </c>
      <c r="G657" s="2" t="str">
        <f>IF(_xlfn.XLOOKUP(C657,Customers!$A$2:$A$1001,Customers!$C$2:$C$1001)=0,"",_xlfn.XLOOKUP(C657,Customers!$A$2:$A$1001,Customers!$C$2:$C$1001))</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_xlfn.XLOOKUP(Orders[[#This Row],[Customer ID]],Customers!$A$2:$A$1001,Customers!$I$2:$I$1001,0)</f>
        <v>Yes</v>
      </c>
    </row>
    <row r="658" spans="1:16" x14ac:dyDescent="0.3">
      <c r="A658" s="2" t="s">
        <v>4196</v>
      </c>
      <c r="B658" s="3">
        <v>44485</v>
      </c>
      <c r="C658" s="2" t="s">
        <v>4197</v>
      </c>
      <c r="D658" t="s">
        <v>6143</v>
      </c>
      <c r="E658" s="2">
        <v>4</v>
      </c>
      <c r="F658" s="2" t="str">
        <f>_xlfn.XLOOKUP(C658,Customers!$A$2:$A$1001,Customers!$B$2:$B$1001,0)</f>
        <v>Sylas Jennaroy</v>
      </c>
      <c r="G658" s="2" t="str">
        <f>IF(_xlfn.XLOOKUP(C658,Customers!$A$2:$A$1001,Customers!$C$2:$C$1001)=0,"",_xlfn.XLOOKUP(C658,Customers!$A$2:$A$1001,Customers!$C$2:$C$1001))</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_xlfn.XLOOKUP(Orders[[#This Row],[Customer ID]],Customers!$A$2:$A$1001,Customers!$I$2:$I$1001,0)</f>
        <v>No</v>
      </c>
    </row>
    <row r="659" spans="1:16" x14ac:dyDescent="0.3">
      <c r="A659" s="2" t="s">
        <v>4201</v>
      </c>
      <c r="B659" s="3">
        <v>43831</v>
      </c>
      <c r="C659" s="2" t="s">
        <v>4202</v>
      </c>
      <c r="D659" t="s">
        <v>6157</v>
      </c>
      <c r="E659" s="2">
        <v>2</v>
      </c>
      <c r="F659" s="2" t="str">
        <f>_xlfn.XLOOKUP(C659,Customers!$A$2:$A$1001,Customers!$B$2:$B$1001,0)</f>
        <v>Wren Place</v>
      </c>
      <c r="G659" s="2" t="str">
        <f>IF(_xlfn.XLOOKUP(C659,Customers!$A$2:$A$1001,Customers!$C$2:$C$1001)=0,"",_xlfn.XLOOKUP(C659,Customers!$A$2:$A$1001,Customers!$C$2:$C$1001))</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_xlfn.XLOOKUP(Orders[[#This Row],[Customer ID]],Customers!$A$2:$A$1001,Customers!$I$2:$I$1001,0)</f>
        <v>Yes</v>
      </c>
    </row>
    <row r="660" spans="1:16" x14ac:dyDescent="0.3">
      <c r="A660" s="2" t="s">
        <v>4207</v>
      </c>
      <c r="B660" s="3">
        <v>44630</v>
      </c>
      <c r="C660" s="2" t="s">
        <v>4263</v>
      </c>
      <c r="D660" t="s">
        <v>6139</v>
      </c>
      <c r="E660" s="2">
        <v>3</v>
      </c>
      <c r="F660" s="2" t="str">
        <f>_xlfn.XLOOKUP(C660,Customers!$A$2:$A$1001,Customers!$B$2:$B$1001,0)</f>
        <v>Janella Millett</v>
      </c>
      <c r="G660" s="2" t="str">
        <f>IF(_xlfn.XLOOKUP(C660,Customers!$A$2:$A$1001,Customers!$C$2:$C$1001)=0,"",_xlfn.XLOOKUP(C660,Customers!$A$2:$A$1001,Customers!$C$2:$C$1001))</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_xlfn.XLOOKUP(Orders[[#This Row],[Customer ID]],Customers!$A$2:$A$1001,Customers!$I$2:$I$1001,0)</f>
        <v>Yes</v>
      </c>
    </row>
    <row r="661" spans="1:16" x14ac:dyDescent="0.3">
      <c r="A661" s="2" t="s">
        <v>4211</v>
      </c>
      <c r="B661" s="3">
        <v>44693</v>
      </c>
      <c r="C661" s="2" t="s">
        <v>4212</v>
      </c>
      <c r="D661" t="s">
        <v>6168</v>
      </c>
      <c r="E661" s="2">
        <v>2</v>
      </c>
      <c r="F661" s="2" t="str">
        <f>_xlfn.XLOOKUP(C661,Customers!$A$2:$A$1001,Customers!$B$2:$B$1001,0)</f>
        <v>Dollie Gadsden</v>
      </c>
      <c r="G661" s="2" t="str">
        <f>IF(_xlfn.XLOOKUP(C661,Customers!$A$2:$A$1001,Customers!$C$2:$C$1001)=0,"",_xlfn.XLOOKUP(C661,Customers!$A$2:$A$1001,Customers!$C$2:$C$1001))</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_xlfn.XLOOKUP(Orders[[#This Row],[Customer ID]],Customers!$A$2:$A$1001,Customers!$I$2:$I$1001,0)</f>
        <v>Yes</v>
      </c>
    </row>
    <row r="662" spans="1:16" x14ac:dyDescent="0.3">
      <c r="A662" s="2" t="s">
        <v>4217</v>
      </c>
      <c r="B662" s="3">
        <v>44084</v>
      </c>
      <c r="C662" s="2" t="s">
        <v>4218</v>
      </c>
      <c r="D662" t="s">
        <v>6176</v>
      </c>
      <c r="E662" s="2">
        <v>6</v>
      </c>
      <c r="F662" s="2" t="str">
        <f>_xlfn.XLOOKUP(C662,Customers!$A$2:$A$1001,Customers!$B$2:$B$1001,0)</f>
        <v>Val Wakelin</v>
      </c>
      <c r="G662" s="2" t="str">
        <f>IF(_xlfn.XLOOKUP(C662,Customers!$A$2:$A$1001,Customers!$C$2:$C$1001)=0,"",_xlfn.XLOOKUP(C662,Customers!$A$2:$A$1001,Customers!$C$2:$C$1001))</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_xlfn.XLOOKUP(Orders[[#This Row],[Customer ID]],Customers!$A$2:$A$1001,Customers!$I$2:$I$1001,0)</f>
        <v>No</v>
      </c>
    </row>
    <row r="663" spans="1:16" x14ac:dyDescent="0.3">
      <c r="A663" s="2" t="s">
        <v>4223</v>
      </c>
      <c r="B663" s="3">
        <v>44485</v>
      </c>
      <c r="C663" s="2" t="s">
        <v>4224</v>
      </c>
      <c r="D663" t="s">
        <v>6152</v>
      </c>
      <c r="E663" s="2">
        <v>6</v>
      </c>
      <c r="F663" s="2" t="str">
        <f>_xlfn.XLOOKUP(C663,Customers!$A$2:$A$1001,Customers!$B$2:$B$1001,0)</f>
        <v>Annie Campsall</v>
      </c>
      <c r="G663" s="2" t="str">
        <f>IF(_xlfn.XLOOKUP(C663,Customers!$A$2:$A$1001,Customers!$C$2:$C$1001)=0,"",_xlfn.XLOOKUP(C663,Customers!$A$2:$A$1001,Customers!$C$2:$C$1001))</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_xlfn.XLOOKUP(Orders[[#This Row],[Customer ID]],Customers!$A$2:$A$1001,Customers!$I$2:$I$1001,0)</f>
        <v>Yes</v>
      </c>
    </row>
    <row r="664" spans="1:16" x14ac:dyDescent="0.3">
      <c r="A664" s="2" t="s">
        <v>4229</v>
      </c>
      <c r="B664" s="3">
        <v>44364</v>
      </c>
      <c r="C664" s="2" t="s">
        <v>4230</v>
      </c>
      <c r="D664" t="s">
        <v>6165</v>
      </c>
      <c r="E664" s="2">
        <v>5</v>
      </c>
      <c r="F664" s="2" t="str">
        <f>_xlfn.XLOOKUP(C664,Customers!$A$2:$A$1001,Customers!$B$2:$B$1001,0)</f>
        <v>Shermy Moseby</v>
      </c>
      <c r="G664" s="2" t="str">
        <f>IF(_xlfn.XLOOKUP(C664,Customers!$A$2:$A$1001,Customers!$C$2:$C$1001)=0,"",_xlfn.XLOOKUP(C664,Customers!$A$2:$A$1001,Customers!$C$2:$C$1001))</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_xlfn.XLOOKUP(Orders[[#This Row],[Customer ID]],Customers!$A$2:$A$1001,Customers!$I$2:$I$1001,0)</f>
        <v>No</v>
      </c>
    </row>
    <row r="665" spans="1:16" x14ac:dyDescent="0.3">
      <c r="A665" s="2" t="s">
        <v>4234</v>
      </c>
      <c r="B665" s="3">
        <v>43554</v>
      </c>
      <c r="C665" s="2" t="s">
        <v>4235</v>
      </c>
      <c r="D665" t="s">
        <v>6155</v>
      </c>
      <c r="E665" s="2">
        <v>6</v>
      </c>
      <c r="F665" s="2" t="str">
        <f>_xlfn.XLOOKUP(C665,Customers!$A$2:$A$1001,Customers!$B$2:$B$1001,0)</f>
        <v>Corrie Wass</v>
      </c>
      <c r="G665" s="2" t="str">
        <f>IF(_xlfn.XLOOKUP(C665,Customers!$A$2:$A$1001,Customers!$C$2:$C$1001)=0,"",_xlfn.XLOOKUP(C665,Customers!$A$2:$A$1001,Customers!$C$2:$C$1001))</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_xlfn.XLOOKUP(Orders[[#This Row],[Customer ID]],Customers!$A$2:$A$1001,Customers!$I$2:$I$1001,0)</f>
        <v>No</v>
      </c>
    </row>
    <row r="666" spans="1:16" x14ac:dyDescent="0.3">
      <c r="A666" s="2" t="s">
        <v>4239</v>
      </c>
      <c r="B666" s="3">
        <v>44549</v>
      </c>
      <c r="C666" s="2" t="s">
        <v>4240</v>
      </c>
      <c r="D666" t="s">
        <v>6183</v>
      </c>
      <c r="E666" s="2">
        <v>6</v>
      </c>
      <c r="F666" s="2" t="str">
        <f>_xlfn.XLOOKUP(C666,Customers!$A$2:$A$1001,Customers!$B$2:$B$1001,0)</f>
        <v>Ira Sjostrom</v>
      </c>
      <c r="G666" s="2" t="str">
        <f>IF(_xlfn.XLOOKUP(C666,Customers!$A$2:$A$1001,Customers!$C$2:$C$1001)=0,"",_xlfn.XLOOKUP(C666,Customers!$A$2:$A$1001,Customers!$C$2:$C$1001))</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_xlfn.XLOOKUP(Orders[[#This Row],[Customer ID]],Customers!$A$2:$A$1001,Customers!$I$2:$I$1001,0)</f>
        <v>No</v>
      </c>
    </row>
    <row r="667" spans="1:16" x14ac:dyDescent="0.3">
      <c r="A667" s="2" t="s">
        <v>4239</v>
      </c>
      <c r="B667" s="3">
        <v>44549</v>
      </c>
      <c r="C667" s="2" t="s">
        <v>4240</v>
      </c>
      <c r="D667" t="s">
        <v>6150</v>
      </c>
      <c r="E667" s="2">
        <v>2</v>
      </c>
      <c r="F667" s="2" t="str">
        <f>_xlfn.XLOOKUP(C667,Customers!$A$2:$A$1001,Customers!$B$2:$B$1001,0)</f>
        <v>Ira Sjostrom</v>
      </c>
      <c r="G667" s="2" t="str">
        <f>IF(_xlfn.XLOOKUP(C667,Customers!$A$2:$A$1001,Customers!$C$2:$C$1001)=0,"",_xlfn.XLOOKUP(C667,Customers!$A$2:$A$1001,Customers!$C$2:$C$1001))</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_xlfn.XLOOKUP(Orders[[#This Row],[Customer ID]],Customers!$A$2:$A$1001,Customers!$I$2:$I$1001,0)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IF(_xlfn.XLOOKUP(C668,Customers!$A$2:$A$1001,Customers!$C$2:$C$1001)=0,"",_xlfn.XLOOKUP(C668,Customers!$A$2:$A$1001,Customers!$C$2:$C$1001))</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_xlfn.XLOOKUP(Orders[[#This Row],[Customer ID]],Customers!$A$2:$A$1001,Customers!$I$2:$I$1001,0)</f>
        <v>No</v>
      </c>
    </row>
    <row r="669" spans="1:16" x14ac:dyDescent="0.3">
      <c r="A669" s="2" t="s">
        <v>4256</v>
      </c>
      <c r="B669" s="3">
        <v>44451</v>
      </c>
      <c r="C669" s="2" t="s">
        <v>4257</v>
      </c>
      <c r="D669" t="s">
        <v>6147</v>
      </c>
      <c r="E669" s="2">
        <v>6</v>
      </c>
      <c r="F669" s="2" t="str">
        <f>_xlfn.XLOOKUP(C669,Customers!$A$2:$A$1001,Customers!$B$2:$B$1001,0)</f>
        <v>Nissie Rudland</v>
      </c>
      <c r="G669" s="2" t="str">
        <f>IF(_xlfn.XLOOKUP(C669,Customers!$A$2:$A$1001,Customers!$C$2:$C$1001)=0,"",_xlfn.XLOOKUP(C669,Customers!$A$2:$A$1001,Customers!$C$2:$C$1001))</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_xlfn.XLOOKUP(Orders[[#This Row],[Customer ID]],Customers!$A$2:$A$1001,Customers!$I$2:$I$1001,0)</f>
        <v>No</v>
      </c>
    </row>
    <row r="670" spans="1:16" x14ac:dyDescent="0.3">
      <c r="A670" s="2" t="s">
        <v>4262</v>
      </c>
      <c r="B670" s="3">
        <v>44636</v>
      </c>
      <c r="C670" s="2" t="s">
        <v>4263</v>
      </c>
      <c r="D670" t="s">
        <v>6142</v>
      </c>
      <c r="E670" s="2">
        <v>5</v>
      </c>
      <c r="F670" s="2" t="str">
        <f>_xlfn.XLOOKUP(C670,Customers!$A$2:$A$1001,Customers!$B$2:$B$1001,0)</f>
        <v>Janella Millett</v>
      </c>
      <c r="G670" s="2" t="str">
        <f>IF(_xlfn.XLOOKUP(C670,Customers!$A$2:$A$1001,Customers!$C$2:$C$1001)=0,"",_xlfn.XLOOKUP(C670,Customers!$A$2:$A$1001,Customers!$C$2:$C$1001))</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_xlfn.XLOOKUP(Orders[[#This Row],[Customer ID]],Customers!$A$2:$A$1001,Customers!$I$2:$I$1001,0)</f>
        <v>Yes</v>
      </c>
    </row>
    <row r="671" spans="1:16" x14ac:dyDescent="0.3">
      <c r="A671" s="2" t="s">
        <v>4268</v>
      </c>
      <c r="B671" s="3">
        <v>44551</v>
      </c>
      <c r="C671" s="2" t="s">
        <v>4269</v>
      </c>
      <c r="D671" t="s">
        <v>6181</v>
      </c>
      <c r="E671" s="2">
        <v>2</v>
      </c>
      <c r="F671" s="2" t="str">
        <f>_xlfn.XLOOKUP(C671,Customers!$A$2:$A$1001,Customers!$B$2:$B$1001,0)</f>
        <v>Ferdie Tourry</v>
      </c>
      <c r="G671" s="2" t="str">
        <f>IF(_xlfn.XLOOKUP(C671,Customers!$A$2:$A$1001,Customers!$C$2:$C$1001)=0,"",_xlfn.XLOOKUP(C671,Customers!$A$2:$A$1001,Customers!$C$2:$C$1001))</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_xlfn.XLOOKUP(Orders[[#This Row],[Customer ID]],Customers!$A$2:$A$1001,Customers!$I$2:$I$1001,0)</f>
        <v>No</v>
      </c>
    </row>
    <row r="672" spans="1:16" x14ac:dyDescent="0.3">
      <c r="A672" s="2" t="s">
        <v>4274</v>
      </c>
      <c r="B672" s="3">
        <v>43606</v>
      </c>
      <c r="C672" s="2" t="s">
        <v>4275</v>
      </c>
      <c r="D672" t="s">
        <v>6159</v>
      </c>
      <c r="E672" s="2">
        <v>3</v>
      </c>
      <c r="F672" s="2" t="str">
        <f>_xlfn.XLOOKUP(C672,Customers!$A$2:$A$1001,Customers!$B$2:$B$1001,0)</f>
        <v>Cecil Weatherall</v>
      </c>
      <c r="G672" s="2" t="str">
        <f>IF(_xlfn.XLOOKUP(C672,Customers!$A$2:$A$1001,Customers!$C$2:$C$1001)=0,"",_xlfn.XLOOKUP(C672,Customers!$A$2:$A$1001,Customers!$C$2:$C$1001))</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_xlfn.XLOOKUP(Orders[[#This Row],[Customer ID]],Customers!$A$2:$A$1001,Customers!$I$2:$I$1001,0)</f>
        <v>Yes</v>
      </c>
    </row>
    <row r="673" spans="1:16" x14ac:dyDescent="0.3">
      <c r="A673" s="2" t="s">
        <v>4280</v>
      </c>
      <c r="B673" s="3">
        <v>44495</v>
      </c>
      <c r="C673" s="2" t="s">
        <v>4281</v>
      </c>
      <c r="D673" t="s">
        <v>6179</v>
      </c>
      <c r="E673" s="2">
        <v>5</v>
      </c>
      <c r="F673" s="2" t="str">
        <f>_xlfn.XLOOKUP(C673,Customers!$A$2:$A$1001,Customers!$B$2:$B$1001,0)</f>
        <v>Gale Heindrick</v>
      </c>
      <c r="G673" s="2" t="str">
        <f>IF(_xlfn.XLOOKUP(C673,Customers!$A$2:$A$1001,Customers!$C$2:$C$1001)=0,"",_xlfn.XLOOKUP(C673,Customers!$A$2:$A$1001,Customers!$C$2:$C$1001))</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_xlfn.XLOOKUP(Orders[[#This Row],[Customer ID]],Customers!$A$2:$A$1001,Customers!$I$2:$I$1001,0)</f>
        <v>No</v>
      </c>
    </row>
    <row r="674" spans="1:16" x14ac:dyDescent="0.3">
      <c r="A674" s="2" t="s">
        <v>4286</v>
      </c>
      <c r="B674" s="3">
        <v>43916</v>
      </c>
      <c r="C674" s="2" t="s">
        <v>4287</v>
      </c>
      <c r="D674" t="s">
        <v>6160</v>
      </c>
      <c r="E674" s="2">
        <v>5</v>
      </c>
      <c r="F674" s="2" t="str">
        <f>_xlfn.XLOOKUP(C674,Customers!$A$2:$A$1001,Customers!$B$2:$B$1001,0)</f>
        <v>Layne Imason</v>
      </c>
      <c r="G674" s="2" t="str">
        <f>IF(_xlfn.XLOOKUP(C674,Customers!$A$2:$A$1001,Customers!$C$2:$C$1001)=0,"",_xlfn.XLOOKUP(C674,Customers!$A$2:$A$1001,Customers!$C$2:$C$1001))</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_xlfn.XLOOKUP(Orders[[#This Row],[Customer ID]],Customers!$A$2:$A$1001,Customers!$I$2:$I$1001,0)</f>
        <v>Yes</v>
      </c>
    </row>
    <row r="675" spans="1:16" x14ac:dyDescent="0.3">
      <c r="A675" s="2" t="s">
        <v>4291</v>
      </c>
      <c r="B675" s="3">
        <v>44118</v>
      </c>
      <c r="C675" s="2" t="s">
        <v>4292</v>
      </c>
      <c r="D675" t="s">
        <v>6141</v>
      </c>
      <c r="E675" s="2">
        <v>6</v>
      </c>
      <c r="F675" s="2" t="str">
        <f>_xlfn.XLOOKUP(C675,Customers!$A$2:$A$1001,Customers!$B$2:$B$1001,0)</f>
        <v>Hazel Saill</v>
      </c>
      <c r="G675" s="2" t="str">
        <f>IF(_xlfn.XLOOKUP(C675,Customers!$A$2:$A$1001,Customers!$C$2:$C$1001)=0,"",_xlfn.XLOOKUP(C675,Customers!$A$2:$A$1001,Customers!$C$2:$C$1001))</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_xlfn.XLOOKUP(Orders[[#This Row],[Customer ID]],Customers!$A$2:$A$1001,Customers!$I$2:$I$1001,0)</f>
        <v>Yes</v>
      </c>
    </row>
    <row r="676" spans="1:16" x14ac:dyDescent="0.3">
      <c r="A676" s="2" t="s">
        <v>4297</v>
      </c>
      <c r="B676" s="3">
        <v>44543</v>
      </c>
      <c r="C676" s="2" t="s">
        <v>4298</v>
      </c>
      <c r="D676" t="s">
        <v>6182</v>
      </c>
      <c r="E676" s="2">
        <v>6</v>
      </c>
      <c r="F676" s="2" t="str">
        <f>_xlfn.XLOOKUP(C676,Customers!$A$2:$A$1001,Customers!$B$2:$B$1001,0)</f>
        <v>Hermann Larvor</v>
      </c>
      <c r="G676" s="2" t="str">
        <f>IF(_xlfn.XLOOKUP(C676,Customers!$A$2:$A$1001,Customers!$C$2:$C$1001)=0,"",_xlfn.XLOOKUP(C676,Customers!$A$2:$A$1001,Customers!$C$2:$C$1001))</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_xlfn.XLOOKUP(Orders[[#This Row],[Customer ID]],Customers!$A$2:$A$1001,Customers!$I$2:$I$1001,0)</f>
        <v>Yes</v>
      </c>
    </row>
    <row r="677" spans="1:16" x14ac:dyDescent="0.3">
      <c r="A677" s="2" t="s">
        <v>4303</v>
      </c>
      <c r="B677" s="3">
        <v>44263</v>
      </c>
      <c r="C677" s="2" t="s">
        <v>4304</v>
      </c>
      <c r="D677" t="s">
        <v>6165</v>
      </c>
      <c r="E677" s="2">
        <v>4</v>
      </c>
      <c r="F677" s="2" t="str">
        <f>_xlfn.XLOOKUP(C677,Customers!$A$2:$A$1001,Customers!$B$2:$B$1001,0)</f>
        <v>Terri Lyford</v>
      </c>
      <c r="G677" s="2" t="str">
        <f>IF(_xlfn.XLOOKUP(C677,Customers!$A$2:$A$1001,Customers!$C$2:$C$1001)=0,"",_xlfn.XLOOKUP(C677,Customers!$A$2:$A$1001,Customers!$C$2:$C$1001))</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_xlfn.XLOOKUP(Orders[[#This Row],[Customer ID]],Customers!$A$2:$A$1001,Customers!$I$2:$I$1001,0)</f>
        <v>Yes</v>
      </c>
    </row>
    <row r="678" spans="1:16" x14ac:dyDescent="0.3">
      <c r="A678" s="2" t="s">
        <v>4308</v>
      </c>
      <c r="B678" s="3">
        <v>44217</v>
      </c>
      <c r="C678" s="2" t="s">
        <v>4309</v>
      </c>
      <c r="D678" t="s">
        <v>6161</v>
      </c>
      <c r="E678" s="2">
        <v>5</v>
      </c>
      <c r="F678" s="2" t="str">
        <f>_xlfn.XLOOKUP(C678,Customers!$A$2:$A$1001,Customers!$B$2:$B$1001,0)</f>
        <v>Gabey Cogan</v>
      </c>
      <c r="G678" s="2" t="str">
        <f>IF(_xlfn.XLOOKUP(C678,Customers!$A$2:$A$1001,Customers!$C$2:$C$1001)=0,"",_xlfn.XLOOKUP(C678,Customers!$A$2:$A$1001,Customers!$C$2:$C$1001))</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_xlfn.XLOOKUP(Orders[[#This Row],[Customer ID]],Customers!$A$2:$A$1001,Customers!$I$2:$I$1001,0)</f>
        <v>No</v>
      </c>
    </row>
    <row r="679" spans="1:16" x14ac:dyDescent="0.3">
      <c r="A679" s="2" t="s">
        <v>4313</v>
      </c>
      <c r="B679" s="3">
        <v>44206</v>
      </c>
      <c r="C679" s="2" t="s">
        <v>4314</v>
      </c>
      <c r="D679" t="s">
        <v>6160</v>
      </c>
      <c r="E679" s="2">
        <v>5</v>
      </c>
      <c r="F679" s="2" t="str">
        <f>_xlfn.XLOOKUP(C679,Customers!$A$2:$A$1001,Customers!$B$2:$B$1001,0)</f>
        <v>Charin Penwarden</v>
      </c>
      <c r="G679" s="2" t="str">
        <f>IF(_xlfn.XLOOKUP(C679,Customers!$A$2:$A$1001,Customers!$C$2:$C$1001)=0,"",_xlfn.XLOOKUP(C679,Customers!$A$2:$A$1001,Customers!$C$2:$C$1001))</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_xlfn.XLOOKUP(Orders[[#This Row],[Customer ID]],Customers!$A$2:$A$1001,Customers!$I$2:$I$1001,0)</f>
        <v>No</v>
      </c>
    </row>
    <row r="680" spans="1:16" x14ac:dyDescent="0.3">
      <c r="A680" s="2" t="s">
        <v>4319</v>
      </c>
      <c r="B680" s="3">
        <v>44281</v>
      </c>
      <c r="C680" s="2" t="s">
        <v>4320</v>
      </c>
      <c r="D680" t="s">
        <v>6182</v>
      </c>
      <c r="E680" s="2">
        <v>6</v>
      </c>
      <c r="F680" s="2" t="str">
        <f>_xlfn.XLOOKUP(C680,Customers!$A$2:$A$1001,Customers!$B$2:$B$1001,0)</f>
        <v>Milty Middis</v>
      </c>
      <c r="G680" s="2" t="str">
        <f>IF(_xlfn.XLOOKUP(C680,Customers!$A$2:$A$1001,Customers!$C$2:$C$1001)=0,"",_xlfn.XLOOKUP(C680,Customers!$A$2:$A$1001,Customers!$C$2:$C$1001))</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_xlfn.XLOOKUP(Orders[[#This Row],[Customer ID]],Customers!$A$2:$A$1001,Customers!$I$2:$I$1001,0)</f>
        <v>Yes</v>
      </c>
    </row>
    <row r="681" spans="1:16" x14ac:dyDescent="0.3">
      <c r="A681" s="2" t="s">
        <v>4325</v>
      </c>
      <c r="B681" s="3">
        <v>44645</v>
      </c>
      <c r="C681" s="2" t="s">
        <v>4326</v>
      </c>
      <c r="D681" t="s">
        <v>6142</v>
      </c>
      <c r="E681" s="2">
        <v>1</v>
      </c>
      <c r="F681" s="2" t="str">
        <f>_xlfn.XLOOKUP(C681,Customers!$A$2:$A$1001,Customers!$B$2:$B$1001,0)</f>
        <v>Adrianne Vairow</v>
      </c>
      <c r="G681" s="2" t="str">
        <f>IF(_xlfn.XLOOKUP(C681,Customers!$A$2:$A$1001,Customers!$C$2:$C$1001)=0,"",_xlfn.XLOOKUP(C681,Customers!$A$2:$A$1001,Customers!$C$2:$C$1001))</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_xlfn.XLOOKUP(Orders[[#This Row],[Customer ID]],Customers!$A$2:$A$1001,Customers!$I$2:$I$1001,0)</f>
        <v>No</v>
      </c>
    </row>
    <row r="682" spans="1:16" x14ac:dyDescent="0.3">
      <c r="A682" s="2" t="s">
        <v>4331</v>
      </c>
      <c r="B682" s="3">
        <v>44399</v>
      </c>
      <c r="C682" s="2" t="s">
        <v>4332</v>
      </c>
      <c r="D682" t="s">
        <v>6155</v>
      </c>
      <c r="E682" s="2">
        <v>5</v>
      </c>
      <c r="F682" s="2" t="str">
        <f>_xlfn.XLOOKUP(C682,Customers!$A$2:$A$1001,Customers!$B$2:$B$1001,0)</f>
        <v>Anjanette Goldie</v>
      </c>
      <c r="G682" s="2" t="str">
        <f>IF(_xlfn.XLOOKUP(C682,Customers!$A$2:$A$1001,Customers!$C$2:$C$1001)=0,"",_xlfn.XLOOKUP(C682,Customers!$A$2:$A$1001,Customers!$C$2:$C$1001))</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_xlfn.XLOOKUP(Orders[[#This Row],[Customer ID]],Customers!$A$2:$A$1001,Customers!$I$2:$I$1001,0)</f>
        <v>No</v>
      </c>
    </row>
    <row r="683" spans="1:16" x14ac:dyDescent="0.3">
      <c r="A683" s="2" t="s">
        <v>4336</v>
      </c>
      <c r="B683" s="3">
        <v>44080</v>
      </c>
      <c r="C683" s="2" t="s">
        <v>4337</v>
      </c>
      <c r="D683" t="s">
        <v>6145</v>
      </c>
      <c r="E683" s="2">
        <v>2</v>
      </c>
      <c r="F683" s="2" t="str">
        <f>_xlfn.XLOOKUP(C683,Customers!$A$2:$A$1001,Customers!$B$2:$B$1001,0)</f>
        <v>Nicky Ayris</v>
      </c>
      <c r="G683" s="2" t="str">
        <f>IF(_xlfn.XLOOKUP(C683,Customers!$A$2:$A$1001,Customers!$C$2:$C$1001)=0,"",_xlfn.XLOOKUP(C683,Customers!$A$2:$A$1001,Customers!$C$2:$C$1001))</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_xlfn.XLOOKUP(Orders[[#This Row],[Customer ID]],Customers!$A$2:$A$1001,Customers!$I$2:$I$1001,0)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IF(_xlfn.XLOOKUP(C684,Customers!$A$2:$A$1001,Customers!$C$2:$C$1001)=0,"",_xlfn.XLOOKUP(C684,Customers!$A$2:$A$1001,Customers!$C$2:$C$1001))</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_xlfn.XLOOKUP(Orders[[#This Row],[Customer ID]],Customers!$A$2:$A$1001,Customers!$I$2:$I$1001,0)</f>
        <v>Yes</v>
      </c>
    </row>
    <row r="685" spans="1:16" x14ac:dyDescent="0.3">
      <c r="A685" s="2" t="s">
        <v>4348</v>
      </c>
      <c r="B685" s="3">
        <v>43941</v>
      </c>
      <c r="C685" s="2" t="s">
        <v>4349</v>
      </c>
      <c r="D685" t="s">
        <v>6169</v>
      </c>
      <c r="E685" s="2">
        <v>6</v>
      </c>
      <c r="F685" s="2" t="str">
        <f>_xlfn.XLOOKUP(C685,Customers!$A$2:$A$1001,Customers!$B$2:$B$1001,0)</f>
        <v>Theo Jacobovitz</v>
      </c>
      <c r="G685" s="2" t="str">
        <f>IF(_xlfn.XLOOKUP(C685,Customers!$A$2:$A$1001,Customers!$C$2:$C$1001)=0,"",_xlfn.XLOOKUP(C685,Customers!$A$2:$A$1001,Customers!$C$2:$C$1001))</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_xlfn.XLOOKUP(Orders[[#This Row],[Customer ID]],Customers!$A$2:$A$1001,Customers!$I$2:$I$1001,0)</f>
        <v>No</v>
      </c>
    </row>
    <row r="686" spans="1:16" x14ac:dyDescent="0.3">
      <c r="A686" s="2" t="s">
        <v>4354</v>
      </c>
      <c r="B686" s="3">
        <v>43517</v>
      </c>
      <c r="C686" s="2" t="s">
        <v>4355</v>
      </c>
      <c r="D686" t="s">
        <v>6179</v>
      </c>
      <c r="E686" s="2">
        <v>6</v>
      </c>
      <c r="F686" s="2" t="str">
        <f>_xlfn.XLOOKUP(C686,Customers!$A$2:$A$1001,Customers!$B$2:$B$1001,0)</f>
        <v>Becca Ableson</v>
      </c>
      <c r="G686" s="2" t="str">
        <f>IF(_xlfn.XLOOKUP(C686,Customers!$A$2:$A$1001,Customers!$C$2:$C$1001)=0,"",_xlfn.XLOOKUP(C686,Customers!$A$2:$A$1001,Customers!$C$2:$C$1001))</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_xlfn.XLOOKUP(Orders[[#This Row],[Customer ID]],Customers!$A$2:$A$1001,Customers!$I$2:$I$1001,0)</f>
        <v>No</v>
      </c>
    </row>
    <row r="687" spans="1:16" x14ac:dyDescent="0.3">
      <c r="A687" s="2" t="s">
        <v>4359</v>
      </c>
      <c r="B687" s="3">
        <v>44637</v>
      </c>
      <c r="C687" s="2" t="s">
        <v>4360</v>
      </c>
      <c r="D687" t="s">
        <v>6164</v>
      </c>
      <c r="E687" s="2">
        <v>2</v>
      </c>
      <c r="F687" s="2" t="str">
        <f>_xlfn.XLOOKUP(C687,Customers!$A$2:$A$1001,Customers!$B$2:$B$1001,0)</f>
        <v>Jeno Druitt</v>
      </c>
      <c r="G687" s="2" t="str">
        <f>IF(_xlfn.XLOOKUP(C687,Customers!$A$2:$A$1001,Customers!$C$2:$C$1001)=0,"",_xlfn.XLOOKUP(C687,Customers!$A$2:$A$1001,Customers!$C$2:$C$1001))</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_xlfn.XLOOKUP(Orders[[#This Row],[Customer ID]],Customers!$A$2:$A$1001,Customers!$I$2:$I$1001,0)</f>
        <v>Yes</v>
      </c>
    </row>
    <row r="688" spans="1:16" x14ac:dyDescent="0.3">
      <c r="A688" s="2" t="s">
        <v>4365</v>
      </c>
      <c r="B688" s="3">
        <v>44330</v>
      </c>
      <c r="C688" s="2" t="s">
        <v>4366</v>
      </c>
      <c r="D688" t="s">
        <v>6163</v>
      </c>
      <c r="E688" s="2">
        <v>3</v>
      </c>
      <c r="F688" s="2" t="str">
        <f>_xlfn.XLOOKUP(C688,Customers!$A$2:$A$1001,Customers!$B$2:$B$1001,0)</f>
        <v>Deonne Shortall</v>
      </c>
      <c r="G688" s="2" t="str">
        <f>IF(_xlfn.XLOOKUP(C688,Customers!$A$2:$A$1001,Customers!$C$2:$C$1001)=0,"",_xlfn.XLOOKUP(C688,Customers!$A$2:$A$1001,Customers!$C$2:$C$1001))</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_xlfn.XLOOKUP(Orders[[#This Row],[Customer ID]],Customers!$A$2:$A$1001,Customers!$I$2:$I$1001,0)</f>
        <v>Yes</v>
      </c>
    </row>
    <row r="689" spans="1:16" x14ac:dyDescent="0.3">
      <c r="A689" s="2" t="s">
        <v>4371</v>
      </c>
      <c r="B689" s="3">
        <v>43471</v>
      </c>
      <c r="C689" s="2" t="s">
        <v>4372</v>
      </c>
      <c r="D689" t="s">
        <v>6139</v>
      </c>
      <c r="E689" s="2">
        <v>2</v>
      </c>
      <c r="F689" s="2" t="str">
        <f>_xlfn.XLOOKUP(C689,Customers!$A$2:$A$1001,Customers!$B$2:$B$1001,0)</f>
        <v>Wilton Cottier</v>
      </c>
      <c r="G689" s="2" t="str">
        <f>IF(_xlfn.XLOOKUP(C689,Customers!$A$2:$A$1001,Customers!$C$2:$C$1001)=0,"",_xlfn.XLOOKUP(C689,Customers!$A$2:$A$1001,Customers!$C$2:$C$1001))</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_xlfn.XLOOKUP(Orders[[#This Row],[Customer ID]],Customers!$A$2:$A$1001,Customers!$I$2:$I$1001,0)</f>
        <v>No</v>
      </c>
    </row>
    <row r="690" spans="1:16" x14ac:dyDescent="0.3">
      <c r="A690" s="2" t="s">
        <v>4377</v>
      </c>
      <c r="B690" s="3">
        <v>43579</v>
      </c>
      <c r="C690" s="2" t="s">
        <v>4378</v>
      </c>
      <c r="D690" t="s">
        <v>6140</v>
      </c>
      <c r="E690" s="2">
        <v>5</v>
      </c>
      <c r="F690" s="2" t="str">
        <f>_xlfn.XLOOKUP(C690,Customers!$A$2:$A$1001,Customers!$B$2:$B$1001,0)</f>
        <v>Kevan Grinsted</v>
      </c>
      <c r="G690" s="2" t="str">
        <f>IF(_xlfn.XLOOKUP(C690,Customers!$A$2:$A$1001,Customers!$C$2:$C$1001)=0,"",_xlfn.XLOOKUP(C690,Customers!$A$2:$A$1001,Customers!$C$2:$C$1001))</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_xlfn.XLOOKUP(Orders[[#This Row],[Customer ID]],Customers!$A$2:$A$1001,Customers!$I$2:$I$1001,0)</f>
        <v>No</v>
      </c>
    </row>
    <row r="691" spans="1:16" x14ac:dyDescent="0.3">
      <c r="A691" s="2" t="s">
        <v>4383</v>
      </c>
      <c r="B691" s="3">
        <v>44346</v>
      </c>
      <c r="C691" s="2" t="s">
        <v>4384</v>
      </c>
      <c r="D691" t="s">
        <v>6157</v>
      </c>
      <c r="E691" s="2">
        <v>5</v>
      </c>
      <c r="F691" s="2" t="str">
        <f>_xlfn.XLOOKUP(C691,Customers!$A$2:$A$1001,Customers!$B$2:$B$1001,0)</f>
        <v>Dionne Skyner</v>
      </c>
      <c r="G691" s="2" t="str">
        <f>IF(_xlfn.XLOOKUP(C691,Customers!$A$2:$A$1001,Customers!$C$2:$C$1001)=0,"",_xlfn.XLOOKUP(C691,Customers!$A$2:$A$1001,Customers!$C$2:$C$1001))</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_xlfn.XLOOKUP(Orders[[#This Row],[Customer ID]],Customers!$A$2:$A$1001,Customers!$I$2:$I$1001,0)</f>
        <v>No</v>
      </c>
    </row>
    <row r="692" spans="1:16" x14ac:dyDescent="0.3">
      <c r="A692" s="2" t="s">
        <v>4389</v>
      </c>
      <c r="B692" s="3">
        <v>44754</v>
      </c>
      <c r="C692" s="2" t="s">
        <v>4390</v>
      </c>
      <c r="D692" t="s">
        <v>6165</v>
      </c>
      <c r="E692" s="2">
        <v>6</v>
      </c>
      <c r="F692" s="2" t="str">
        <f>_xlfn.XLOOKUP(C692,Customers!$A$2:$A$1001,Customers!$B$2:$B$1001,0)</f>
        <v>Francesco Dressel</v>
      </c>
      <c r="G692" s="2" t="str">
        <f>IF(_xlfn.XLOOKUP(C692,Customers!$A$2:$A$1001,Customers!$C$2:$C$1001)=0,"",_xlfn.XLOOKUP(C692,Customers!$A$2:$A$1001,Customers!$C$2:$C$1001))</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_xlfn.XLOOKUP(Orders[[#This Row],[Customer ID]],Customers!$A$2:$A$1001,Customers!$I$2:$I$1001,0)</f>
        <v>No</v>
      </c>
    </row>
    <row r="693" spans="1:16" x14ac:dyDescent="0.3">
      <c r="A693" s="2" t="s">
        <v>4393</v>
      </c>
      <c r="B693" s="3">
        <v>44227</v>
      </c>
      <c r="C693" s="2" t="s">
        <v>4434</v>
      </c>
      <c r="D693" t="s">
        <v>6155</v>
      </c>
      <c r="E693" s="2">
        <v>2</v>
      </c>
      <c r="F693" s="2" t="str">
        <f>_xlfn.XLOOKUP(C693,Customers!$A$2:$A$1001,Customers!$B$2:$B$1001,0)</f>
        <v>Jimmy Dymoke</v>
      </c>
      <c r="G693" s="2" t="str">
        <f>IF(_xlfn.XLOOKUP(C693,Customers!$A$2:$A$1001,Customers!$C$2:$C$1001)=0,"",_xlfn.XLOOKUP(C693,Customers!$A$2:$A$1001,Customers!$C$2:$C$1001))</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_xlfn.XLOOKUP(Orders[[#This Row],[Customer ID]],Customers!$A$2:$A$1001,Customers!$I$2:$I$1001,0)</f>
        <v>No</v>
      </c>
    </row>
    <row r="694" spans="1:16" x14ac:dyDescent="0.3">
      <c r="A694" s="2" t="s">
        <v>4399</v>
      </c>
      <c r="B694" s="3">
        <v>43720</v>
      </c>
      <c r="C694" s="2" t="s">
        <v>4400</v>
      </c>
      <c r="D694" t="s">
        <v>6143</v>
      </c>
      <c r="E694" s="2">
        <v>1</v>
      </c>
      <c r="F694" s="2" t="str">
        <f>_xlfn.XLOOKUP(C694,Customers!$A$2:$A$1001,Customers!$B$2:$B$1001,0)</f>
        <v>Ambrosio Weinmann</v>
      </c>
      <c r="G694" s="2" t="str">
        <f>IF(_xlfn.XLOOKUP(C694,Customers!$A$2:$A$1001,Customers!$C$2:$C$1001)=0,"",_xlfn.XLOOKUP(C694,Customers!$A$2:$A$1001,Customers!$C$2:$C$1001))</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_xlfn.XLOOKUP(Orders[[#This Row],[Customer ID]],Customers!$A$2:$A$1001,Customers!$I$2:$I$1001,0)</f>
        <v>No</v>
      </c>
    </row>
    <row r="695" spans="1:16" x14ac:dyDescent="0.3">
      <c r="A695" s="2" t="s">
        <v>4405</v>
      </c>
      <c r="B695" s="3">
        <v>44012</v>
      </c>
      <c r="C695" s="2" t="s">
        <v>4406</v>
      </c>
      <c r="D695" t="s">
        <v>6175</v>
      </c>
      <c r="E695" s="2">
        <v>2</v>
      </c>
      <c r="F695" s="2" t="str">
        <f>_xlfn.XLOOKUP(C695,Customers!$A$2:$A$1001,Customers!$B$2:$B$1001,0)</f>
        <v>Elden Andriessen</v>
      </c>
      <c r="G695" s="2" t="str">
        <f>IF(_xlfn.XLOOKUP(C695,Customers!$A$2:$A$1001,Customers!$C$2:$C$1001)=0,"",_xlfn.XLOOKUP(C695,Customers!$A$2:$A$1001,Customers!$C$2:$C$1001))</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_xlfn.XLOOKUP(Orders[[#This Row],[Customer ID]],Customers!$A$2:$A$1001,Customers!$I$2:$I$1001,0)</f>
        <v>Yes</v>
      </c>
    </row>
    <row r="696" spans="1:16" x14ac:dyDescent="0.3">
      <c r="A696" s="2" t="s">
        <v>4411</v>
      </c>
      <c r="B696" s="3">
        <v>43915</v>
      </c>
      <c r="C696" s="2" t="s">
        <v>4412</v>
      </c>
      <c r="D696" t="s">
        <v>6144</v>
      </c>
      <c r="E696" s="2">
        <v>5</v>
      </c>
      <c r="F696" s="2" t="str">
        <f>_xlfn.XLOOKUP(C696,Customers!$A$2:$A$1001,Customers!$B$2:$B$1001,0)</f>
        <v>Roxie Deaconson</v>
      </c>
      <c r="G696" s="2" t="str">
        <f>IF(_xlfn.XLOOKUP(C696,Customers!$A$2:$A$1001,Customers!$C$2:$C$1001)=0,"",_xlfn.XLOOKUP(C696,Customers!$A$2:$A$1001,Customers!$C$2:$C$1001))</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_xlfn.XLOOKUP(Orders[[#This Row],[Customer ID]],Customers!$A$2:$A$1001,Customers!$I$2:$I$1001,0)</f>
        <v>No</v>
      </c>
    </row>
    <row r="697" spans="1:16" x14ac:dyDescent="0.3">
      <c r="A697" s="2" t="s">
        <v>4417</v>
      </c>
      <c r="B697" s="3">
        <v>44300</v>
      </c>
      <c r="C697" s="2" t="s">
        <v>4418</v>
      </c>
      <c r="D697" t="s">
        <v>6164</v>
      </c>
      <c r="E697" s="2">
        <v>5</v>
      </c>
      <c r="F697" s="2" t="str">
        <f>_xlfn.XLOOKUP(C697,Customers!$A$2:$A$1001,Customers!$B$2:$B$1001,0)</f>
        <v>Davida Caro</v>
      </c>
      <c r="G697" s="2" t="str">
        <f>IF(_xlfn.XLOOKUP(C697,Customers!$A$2:$A$1001,Customers!$C$2:$C$1001)=0,"",_xlfn.XLOOKUP(C697,Customers!$A$2:$A$1001,Customers!$C$2:$C$1001))</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_xlfn.XLOOKUP(Orders[[#This Row],[Customer ID]],Customers!$A$2:$A$1001,Customers!$I$2:$I$1001,0)</f>
        <v>Yes</v>
      </c>
    </row>
    <row r="698" spans="1:16" x14ac:dyDescent="0.3">
      <c r="A698" s="2" t="s">
        <v>4423</v>
      </c>
      <c r="B698" s="3">
        <v>43693</v>
      </c>
      <c r="C698" s="2" t="s">
        <v>4424</v>
      </c>
      <c r="D698" t="s">
        <v>6169</v>
      </c>
      <c r="E698" s="2">
        <v>4</v>
      </c>
      <c r="F698" s="2" t="str">
        <f>_xlfn.XLOOKUP(C698,Customers!$A$2:$A$1001,Customers!$B$2:$B$1001,0)</f>
        <v>Johna Bluck</v>
      </c>
      <c r="G698" s="2" t="str">
        <f>IF(_xlfn.XLOOKUP(C698,Customers!$A$2:$A$1001,Customers!$C$2:$C$1001)=0,"",_xlfn.XLOOKUP(C698,Customers!$A$2:$A$1001,Customers!$C$2:$C$1001))</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_xlfn.XLOOKUP(Orders[[#This Row],[Customer ID]],Customers!$A$2:$A$1001,Customers!$I$2:$I$1001,0)</f>
        <v>No</v>
      </c>
    </row>
    <row r="699" spans="1:16" x14ac:dyDescent="0.3">
      <c r="A699" s="2" t="s">
        <v>4429</v>
      </c>
      <c r="B699" s="3">
        <v>44547</v>
      </c>
      <c r="C699" s="2" t="s">
        <v>4430</v>
      </c>
      <c r="D699" t="s">
        <v>6157</v>
      </c>
      <c r="E699" s="2">
        <v>3</v>
      </c>
      <c r="F699" s="2" t="str">
        <f>_xlfn.XLOOKUP(C699,Customers!$A$2:$A$1001,Customers!$B$2:$B$1001,0)</f>
        <v>Myrle Dearden</v>
      </c>
      <c r="G699" s="2" t="str">
        <f>IF(_xlfn.XLOOKUP(C699,Customers!$A$2:$A$1001,Customers!$C$2:$C$1001)=0,"",_xlfn.XLOOKUP(C699,Customers!$A$2:$A$1001,Customers!$C$2:$C$1001))</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_xlfn.XLOOKUP(Orders[[#This Row],[Customer ID]],Customers!$A$2:$A$1001,Customers!$I$2:$I$1001,0)</f>
        <v>No</v>
      </c>
    </row>
    <row r="700" spans="1:16" x14ac:dyDescent="0.3">
      <c r="A700" s="2" t="s">
        <v>4433</v>
      </c>
      <c r="B700" s="3">
        <v>43830</v>
      </c>
      <c r="C700" s="2" t="s">
        <v>4434</v>
      </c>
      <c r="D700" t="s">
        <v>6143</v>
      </c>
      <c r="E700" s="2">
        <v>2</v>
      </c>
      <c r="F700" s="2" t="str">
        <f>_xlfn.XLOOKUP(C700,Customers!$A$2:$A$1001,Customers!$B$2:$B$1001,0)</f>
        <v>Jimmy Dymoke</v>
      </c>
      <c r="G700" s="2" t="str">
        <f>IF(_xlfn.XLOOKUP(C700,Customers!$A$2:$A$1001,Customers!$C$2:$C$1001)=0,"",_xlfn.XLOOKUP(C700,Customers!$A$2:$A$1001,Customers!$C$2:$C$1001))</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_xlfn.XLOOKUP(Orders[[#This Row],[Customer ID]],Customers!$A$2:$A$1001,Customers!$I$2:$I$1001,0)</f>
        <v>No</v>
      </c>
    </row>
    <row r="701" spans="1:16" x14ac:dyDescent="0.3">
      <c r="A701" s="2" t="s">
        <v>4439</v>
      </c>
      <c r="B701" s="3">
        <v>44298</v>
      </c>
      <c r="C701" s="2" t="s">
        <v>4440</v>
      </c>
      <c r="D701" t="s">
        <v>6158</v>
      </c>
      <c r="E701" s="2">
        <v>4</v>
      </c>
      <c r="F701" s="2" t="str">
        <f>_xlfn.XLOOKUP(C701,Customers!$A$2:$A$1001,Customers!$B$2:$B$1001,0)</f>
        <v>Orland Tadman</v>
      </c>
      <c r="G701" s="2" t="str">
        <f>IF(_xlfn.XLOOKUP(C701,Customers!$A$2:$A$1001,Customers!$C$2:$C$1001)=0,"",_xlfn.XLOOKUP(C701,Customers!$A$2:$A$1001,Customers!$C$2:$C$1001))</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_xlfn.XLOOKUP(Orders[[#This Row],[Customer ID]],Customers!$A$2:$A$1001,Customers!$I$2:$I$1001,0)</f>
        <v>Yes</v>
      </c>
    </row>
    <row r="702" spans="1:16" x14ac:dyDescent="0.3">
      <c r="A702" s="2" t="s">
        <v>4445</v>
      </c>
      <c r="B702" s="3">
        <v>43736</v>
      </c>
      <c r="C702" s="2" t="s">
        <v>4446</v>
      </c>
      <c r="D702" t="s">
        <v>6161</v>
      </c>
      <c r="E702" s="2">
        <v>2</v>
      </c>
      <c r="F702" s="2" t="str">
        <f>_xlfn.XLOOKUP(C702,Customers!$A$2:$A$1001,Customers!$B$2:$B$1001,0)</f>
        <v>Barrett Gudde</v>
      </c>
      <c r="G702" s="2" t="str">
        <f>IF(_xlfn.XLOOKUP(C702,Customers!$A$2:$A$1001,Customers!$C$2:$C$1001)=0,"",_xlfn.XLOOKUP(C702,Customers!$A$2:$A$1001,Customers!$C$2:$C$1001))</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_xlfn.XLOOKUP(Orders[[#This Row],[Customer ID]],Customers!$A$2:$A$1001,Customers!$I$2:$I$1001,0)</f>
        <v>No</v>
      </c>
    </row>
    <row r="703" spans="1:16" x14ac:dyDescent="0.3">
      <c r="A703" s="2" t="s">
        <v>4450</v>
      </c>
      <c r="B703" s="3">
        <v>44727</v>
      </c>
      <c r="C703" s="2" t="s">
        <v>4451</v>
      </c>
      <c r="D703" t="s">
        <v>6158</v>
      </c>
      <c r="E703" s="2">
        <v>5</v>
      </c>
      <c r="F703" s="2" t="str">
        <f>_xlfn.XLOOKUP(C703,Customers!$A$2:$A$1001,Customers!$B$2:$B$1001,0)</f>
        <v>Nathan Sictornes</v>
      </c>
      <c r="G703" s="2" t="str">
        <f>IF(_xlfn.XLOOKUP(C703,Customers!$A$2:$A$1001,Customers!$C$2:$C$1001)=0,"",_xlfn.XLOOKUP(C703,Customers!$A$2:$A$1001,Customers!$C$2:$C$1001))</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_xlfn.XLOOKUP(Orders[[#This Row],[Customer ID]],Customers!$A$2:$A$1001,Customers!$I$2:$I$1001,0)</f>
        <v>Yes</v>
      </c>
    </row>
    <row r="704" spans="1:16" x14ac:dyDescent="0.3">
      <c r="A704" s="2" t="s">
        <v>4456</v>
      </c>
      <c r="B704" s="3">
        <v>43661</v>
      </c>
      <c r="C704" s="2" t="s">
        <v>4457</v>
      </c>
      <c r="D704" t="s">
        <v>6180</v>
      </c>
      <c r="E704" s="2">
        <v>1</v>
      </c>
      <c r="F704" s="2" t="str">
        <f>_xlfn.XLOOKUP(C704,Customers!$A$2:$A$1001,Customers!$B$2:$B$1001,0)</f>
        <v>Vivyan Dunning</v>
      </c>
      <c r="G704" s="2" t="str">
        <f>IF(_xlfn.XLOOKUP(C704,Customers!$A$2:$A$1001,Customers!$C$2:$C$1001)=0,"",_xlfn.XLOOKUP(C704,Customers!$A$2:$A$1001,Customers!$C$2:$C$1001))</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_xlfn.XLOOKUP(Orders[[#This Row],[Customer ID]],Customers!$A$2:$A$1001,Customers!$I$2:$I$1001,0)</f>
        <v>Yes</v>
      </c>
    </row>
    <row r="705" spans="1:16" x14ac:dyDescent="0.3">
      <c r="A705" s="2" t="s">
        <v>4461</v>
      </c>
      <c r="B705" s="3">
        <v>43506</v>
      </c>
      <c r="C705" s="2" t="s">
        <v>4462</v>
      </c>
      <c r="D705" t="s">
        <v>6165</v>
      </c>
      <c r="E705" s="2">
        <v>4</v>
      </c>
      <c r="F705" s="2" t="str">
        <f>_xlfn.XLOOKUP(C705,Customers!$A$2:$A$1001,Customers!$B$2:$B$1001,0)</f>
        <v>Doralin Baison</v>
      </c>
      <c r="G705" s="2" t="str">
        <f>IF(_xlfn.XLOOKUP(C705,Customers!$A$2:$A$1001,Customers!$C$2:$C$1001)=0,"",_xlfn.XLOOKUP(C705,Customers!$A$2:$A$1001,Customers!$C$2:$C$1001))</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_xlfn.XLOOKUP(Orders[[#This Row],[Customer ID]],Customers!$A$2:$A$1001,Customers!$I$2:$I$1001,0)</f>
        <v>Yes</v>
      </c>
    </row>
    <row r="706" spans="1:16" x14ac:dyDescent="0.3">
      <c r="A706" s="2" t="s">
        <v>4466</v>
      </c>
      <c r="B706" s="3">
        <v>44716</v>
      </c>
      <c r="C706" s="2" t="s">
        <v>4467</v>
      </c>
      <c r="D706" t="s">
        <v>6153</v>
      </c>
      <c r="E706" s="2">
        <v>6</v>
      </c>
      <c r="F706" s="2" t="str">
        <f>_xlfn.XLOOKUP(C706,Customers!$A$2:$A$1001,Customers!$B$2:$B$1001,0)</f>
        <v>Josefina Ferens</v>
      </c>
      <c r="G706" s="2" t="str">
        <f>IF(_xlfn.XLOOKUP(C706,Customers!$A$2:$A$1001,Customers!$C$2:$C$1001)=0,"",_xlfn.XLOOKUP(C706,Customers!$A$2:$A$1001,Customers!$C$2:$C$1001))</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ref="M706:M769" si="33">L706*E706</f>
        <v>21.87</v>
      </c>
      <c r="N706" t="str">
        <f t="shared" ref="N706:N769" si="34">IF(I706="Rob","Robusta",IF(I706="Exc","Excelsa",IF(I706="Ara","Arabica",IF(I706="Lib","Liberica",""))))</f>
        <v>Excelsa</v>
      </c>
      <c r="O706" t="str">
        <f t="shared" ref="O706:O769" si="35">IF(J706="M","Medium",IF(J706="L","Light",IF(J706="D","Dark","")))</f>
        <v>Dark</v>
      </c>
      <c r="P706" t="str">
        <f>_xlfn.XLOOKUP(Orders[[#This Row],[Customer ID]],Customers!$A$2:$A$1001,Customers!$I$2:$I$1001,0)</f>
        <v>Yes</v>
      </c>
    </row>
    <row r="707" spans="1:16" x14ac:dyDescent="0.3">
      <c r="A707" s="2" t="s">
        <v>4471</v>
      </c>
      <c r="B707" s="3">
        <v>44114</v>
      </c>
      <c r="C707" s="2" t="s">
        <v>4472</v>
      </c>
      <c r="D707" t="s">
        <v>6176</v>
      </c>
      <c r="E707" s="2">
        <v>2</v>
      </c>
      <c r="F707" s="2" t="str">
        <f>_xlfn.XLOOKUP(C707,Customers!$A$2:$A$1001,Customers!$B$2:$B$1001,0)</f>
        <v>Shelley Gehring</v>
      </c>
      <c r="G707" s="2" t="str">
        <f>IF(_xlfn.XLOOKUP(C707,Customers!$A$2:$A$1001,Customers!$C$2:$C$1001)=0,"",_xlfn.XLOOKUP(C707,Customers!$A$2:$A$1001,Customers!$C$2:$C$1001))</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si="33"/>
        <v>17.82</v>
      </c>
      <c r="N707" t="str">
        <f t="shared" si="34"/>
        <v>Excelsa</v>
      </c>
      <c r="O707" t="str">
        <f t="shared" si="35"/>
        <v>Light</v>
      </c>
      <c r="P707" t="str">
        <f>_xlfn.XLOOKUP(Orders[[#This Row],[Customer ID]],Customers!$A$2:$A$1001,Customers!$I$2:$I$1001,0)</f>
        <v>No</v>
      </c>
    </row>
    <row r="708" spans="1:16" x14ac:dyDescent="0.3">
      <c r="A708" s="2" t="s">
        <v>4477</v>
      </c>
      <c r="B708" s="3">
        <v>44353</v>
      </c>
      <c r="C708" s="2" t="s">
        <v>4478</v>
      </c>
      <c r="D708" t="s">
        <v>6156</v>
      </c>
      <c r="E708" s="2">
        <v>3</v>
      </c>
      <c r="F708" s="2" t="str">
        <f>_xlfn.XLOOKUP(C708,Customers!$A$2:$A$1001,Customers!$B$2:$B$1001,0)</f>
        <v>Barrie Fallowes</v>
      </c>
      <c r="G708" s="2" t="str">
        <f>IF(_xlfn.XLOOKUP(C708,Customers!$A$2:$A$1001,Customers!$C$2:$C$1001)=0,"",_xlfn.XLOOKUP(C708,Customers!$A$2:$A$1001,Customers!$C$2:$C$1001))</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_xlfn.XLOOKUP(Orders[[#This Row],[Customer ID]],Customers!$A$2:$A$1001,Customers!$I$2:$I$1001,0)</f>
        <v>No</v>
      </c>
    </row>
    <row r="709" spans="1:16" x14ac:dyDescent="0.3">
      <c r="A709" s="2" t="s">
        <v>4483</v>
      </c>
      <c r="B709" s="3">
        <v>43540</v>
      </c>
      <c r="C709" s="2" t="s">
        <v>4484</v>
      </c>
      <c r="D709" t="s">
        <v>6143</v>
      </c>
      <c r="E709" s="2">
        <v>2</v>
      </c>
      <c r="F709" s="2" t="str">
        <f>_xlfn.XLOOKUP(C709,Customers!$A$2:$A$1001,Customers!$B$2:$B$1001,0)</f>
        <v>Nicolas Aiton</v>
      </c>
      <c r="G709" s="2" t="str">
        <f>IF(_xlfn.XLOOKUP(C709,Customers!$A$2:$A$1001,Customers!$C$2:$C$1001)=0,"",_xlfn.XLOOKUP(C709,Customers!$A$2:$A$1001,Customers!$C$2:$C$1001))</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_xlfn.XLOOKUP(Orders[[#This Row],[Customer ID]],Customers!$A$2:$A$1001,Customers!$I$2:$I$1001,0)</f>
        <v>No</v>
      </c>
    </row>
    <row r="710" spans="1:16" x14ac:dyDescent="0.3">
      <c r="A710" s="2" t="s">
        <v>4488</v>
      </c>
      <c r="B710" s="3">
        <v>43804</v>
      </c>
      <c r="C710" s="2" t="s">
        <v>4489</v>
      </c>
      <c r="D710" t="s">
        <v>6157</v>
      </c>
      <c r="E710" s="2">
        <v>2</v>
      </c>
      <c r="F710" s="2" t="str">
        <f>_xlfn.XLOOKUP(C710,Customers!$A$2:$A$1001,Customers!$B$2:$B$1001,0)</f>
        <v>Shelli De Banke</v>
      </c>
      <c r="G710" s="2" t="str">
        <f>IF(_xlfn.XLOOKUP(C710,Customers!$A$2:$A$1001,Customers!$C$2:$C$1001)=0,"",_xlfn.XLOOKUP(C710,Customers!$A$2:$A$1001,Customers!$C$2:$C$1001))</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_xlfn.XLOOKUP(Orders[[#This Row],[Customer ID]],Customers!$A$2:$A$1001,Customers!$I$2:$I$1001,0)</f>
        <v>Yes</v>
      </c>
    </row>
    <row r="711" spans="1:16" x14ac:dyDescent="0.3">
      <c r="A711" s="2" t="s">
        <v>4494</v>
      </c>
      <c r="B711" s="3">
        <v>43485</v>
      </c>
      <c r="C711" s="2" t="s">
        <v>4495</v>
      </c>
      <c r="D711" t="s">
        <v>6176</v>
      </c>
      <c r="E711" s="2">
        <v>2</v>
      </c>
      <c r="F711" s="2" t="str">
        <f>_xlfn.XLOOKUP(C711,Customers!$A$2:$A$1001,Customers!$B$2:$B$1001,0)</f>
        <v>Lyell Murch</v>
      </c>
      <c r="G711" s="2" t="str">
        <f>IF(_xlfn.XLOOKUP(C711,Customers!$A$2:$A$1001,Customers!$C$2:$C$1001)=0,"",_xlfn.XLOOKUP(C711,Customers!$A$2:$A$1001,Customers!$C$2:$C$1001))</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_xlfn.XLOOKUP(Orders[[#This Row],[Customer ID]],Customers!$A$2:$A$1001,Customers!$I$2:$I$1001,0)</f>
        <v>Yes</v>
      </c>
    </row>
    <row r="712" spans="1:16" x14ac:dyDescent="0.3">
      <c r="A712" s="2" t="s">
        <v>4499</v>
      </c>
      <c r="B712" s="3">
        <v>44655</v>
      </c>
      <c r="C712" s="2" t="s">
        <v>4500</v>
      </c>
      <c r="D712" t="s">
        <v>6139</v>
      </c>
      <c r="E712" s="2">
        <v>3</v>
      </c>
      <c r="F712" s="2" t="str">
        <f>_xlfn.XLOOKUP(C712,Customers!$A$2:$A$1001,Customers!$B$2:$B$1001,0)</f>
        <v>Stearne Count</v>
      </c>
      <c r="G712" s="2" t="str">
        <f>IF(_xlfn.XLOOKUP(C712,Customers!$A$2:$A$1001,Customers!$C$2:$C$1001)=0,"",_xlfn.XLOOKUP(C712,Customers!$A$2:$A$1001,Customers!$C$2:$C$1001))</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_xlfn.XLOOKUP(Orders[[#This Row],[Customer ID]],Customers!$A$2:$A$1001,Customers!$I$2:$I$1001,0)</f>
        <v>No</v>
      </c>
    </row>
    <row r="713" spans="1:16" x14ac:dyDescent="0.3">
      <c r="A713" s="2" t="s">
        <v>4505</v>
      </c>
      <c r="B713" s="3">
        <v>44600</v>
      </c>
      <c r="C713" s="2" t="s">
        <v>4506</v>
      </c>
      <c r="D713" t="s">
        <v>6174</v>
      </c>
      <c r="E713" s="2">
        <v>6</v>
      </c>
      <c r="F713" s="2" t="str">
        <f>_xlfn.XLOOKUP(C713,Customers!$A$2:$A$1001,Customers!$B$2:$B$1001,0)</f>
        <v>Selia Ragles</v>
      </c>
      <c r="G713" s="2" t="str">
        <f>IF(_xlfn.XLOOKUP(C713,Customers!$A$2:$A$1001,Customers!$C$2:$C$1001)=0,"",_xlfn.XLOOKUP(C713,Customers!$A$2:$A$1001,Customers!$C$2:$C$1001))</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_xlfn.XLOOKUP(Orders[[#This Row],[Customer ID]],Customers!$A$2:$A$1001,Customers!$I$2:$I$1001,0)</f>
        <v>No</v>
      </c>
    </row>
    <row r="714" spans="1:16" x14ac:dyDescent="0.3">
      <c r="A714" s="2" t="s">
        <v>4512</v>
      </c>
      <c r="B714" s="3">
        <v>43646</v>
      </c>
      <c r="C714" s="2" t="s">
        <v>4513</v>
      </c>
      <c r="D714" t="s">
        <v>6139</v>
      </c>
      <c r="E714" s="2">
        <v>2</v>
      </c>
      <c r="F714" s="2" t="str">
        <f>_xlfn.XLOOKUP(C714,Customers!$A$2:$A$1001,Customers!$B$2:$B$1001,0)</f>
        <v>Silas Deehan</v>
      </c>
      <c r="G714" s="2" t="str">
        <f>IF(_xlfn.XLOOKUP(C714,Customers!$A$2:$A$1001,Customers!$C$2:$C$1001)=0,"",_xlfn.XLOOKUP(C714,Customers!$A$2:$A$1001,Customers!$C$2:$C$1001))</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_xlfn.XLOOKUP(Orders[[#This Row],[Customer ID]],Customers!$A$2:$A$1001,Customers!$I$2:$I$1001,0)</f>
        <v>No</v>
      </c>
    </row>
    <row r="715" spans="1:16" x14ac:dyDescent="0.3">
      <c r="A715" s="2" t="s">
        <v>4516</v>
      </c>
      <c r="B715" s="3">
        <v>43960</v>
      </c>
      <c r="C715" s="2" t="s">
        <v>4517</v>
      </c>
      <c r="D715" t="s">
        <v>6174</v>
      </c>
      <c r="E715" s="2">
        <v>1</v>
      </c>
      <c r="F715" s="2" t="str">
        <f>_xlfn.XLOOKUP(C715,Customers!$A$2:$A$1001,Customers!$B$2:$B$1001,0)</f>
        <v>Sacha Bruun</v>
      </c>
      <c r="G715" s="2" t="str">
        <f>IF(_xlfn.XLOOKUP(C715,Customers!$A$2:$A$1001,Customers!$C$2:$C$1001)=0,"",_xlfn.XLOOKUP(C715,Customers!$A$2:$A$1001,Customers!$C$2:$C$1001))</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_xlfn.XLOOKUP(Orders[[#This Row],[Customer ID]],Customers!$A$2:$A$1001,Customers!$I$2:$I$1001,0)</f>
        <v>No</v>
      </c>
    </row>
    <row r="716" spans="1:16" x14ac:dyDescent="0.3">
      <c r="A716" s="2" t="s">
        <v>4522</v>
      </c>
      <c r="B716" s="3">
        <v>44358</v>
      </c>
      <c r="C716" s="2" t="s">
        <v>4523</v>
      </c>
      <c r="D716" t="s">
        <v>6153</v>
      </c>
      <c r="E716" s="2">
        <v>4</v>
      </c>
      <c r="F716" s="2" t="str">
        <f>_xlfn.XLOOKUP(C716,Customers!$A$2:$A$1001,Customers!$B$2:$B$1001,0)</f>
        <v>Alon Pllu</v>
      </c>
      <c r="G716" s="2" t="str">
        <f>IF(_xlfn.XLOOKUP(C716,Customers!$A$2:$A$1001,Customers!$C$2:$C$1001)=0,"",_xlfn.XLOOKUP(C716,Customers!$A$2:$A$1001,Customers!$C$2:$C$1001))</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_xlfn.XLOOKUP(Orders[[#This Row],[Customer ID]],Customers!$A$2:$A$1001,Customers!$I$2:$I$1001,0)</f>
        <v>Yes</v>
      </c>
    </row>
    <row r="717" spans="1:16" x14ac:dyDescent="0.3">
      <c r="A717" s="2" t="s">
        <v>4528</v>
      </c>
      <c r="B717" s="3">
        <v>44504</v>
      </c>
      <c r="C717" s="2" t="s">
        <v>4529</v>
      </c>
      <c r="D717" t="s">
        <v>6171</v>
      </c>
      <c r="E717" s="2">
        <v>6</v>
      </c>
      <c r="F717" s="2" t="str">
        <f>_xlfn.XLOOKUP(C717,Customers!$A$2:$A$1001,Customers!$B$2:$B$1001,0)</f>
        <v>Gilberto Cornier</v>
      </c>
      <c r="G717" s="2" t="str">
        <f>IF(_xlfn.XLOOKUP(C717,Customers!$A$2:$A$1001,Customers!$C$2:$C$1001)=0,"",_xlfn.XLOOKUP(C717,Customers!$A$2:$A$1001,Customers!$C$2:$C$1001))</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_xlfn.XLOOKUP(Orders[[#This Row],[Customer ID]],Customers!$A$2:$A$1001,Customers!$I$2:$I$1001,0)</f>
        <v>No</v>
      </c>
    </row>
    <row r="718" spans="1:16" x14ac:dyDescent="0.3">
      <c r="A718" s="2" t="s">
        <v>4533</v>
      </c>
      <c r="B718" s="3">
        <v>44612</v>
      </c>
      <c r="C718" s="2" t="s">
        <v>4434</v>
      </c>
      <c r="D718" t="s">
        <v>6179</v>
      </c>
      <c r="E718" s="2">
        <v>3</v>
      </c>
      <c r="F718" s="2" t="str">
        <f>_xlfn.XLOOKUP(C718,Customers!$A$2:$A$1001,Customers!$B$2:$B$1001,0)</f>
        <v>Jimmy Dymoke</v>
      </c>
      <c r="G718" s="2" t="str">
        <f>IF(_xlfn.XLOOKUP(C718,Customers!$A$2:$A$1001,Customers!$C$2:$C$1001)=0,"",_xlfn.XLOOKUP(C718,Customers!$A$2:$A$1001,Customers!$C$2:$C$1001))</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_xlfn.XLOOKUP(Orders[[#This Row],[Customer ID]],Customers!$A$2:$A$1001,Customers!$I$2:$I$1001,0)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IF(_xlfn.XLOOKUP(C719,Customers!$A$2:$A$1001,Customers!$C$2:$C$1001)=0,"",_xlfn.XLOOKUP(C719,Customers!$A$2:$A$1001,Customers!$C$2:$C$1001))</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_xlfn.XLOOKUP(Orders[[#This Row],[Customer ID]],Customers!$A$2:$A$1001,Customers!$I$2:$I$1001,0)</f>
        <v>No</v>
      </c>
    </row>
    <row r="720" spans="1:16" x14ac:dyDescent="0.3">
      <c r="A720" s="2" t="s">
        <v>4545</v>
      </c>
      <c r="B720" s="3">
        <v>44348</v>
      </c>
      <c r="C720" s="2" t="s">
        <v>4546</v>
      </c>
      <c r="D720" t="s">
        <v>6143</v>
      </c>
      <c r="E720" s="2">
        <v>3</v>
      </c>
      <c r="F720" s="2" t="str">
        <f>_xlfn.XLOOKUP(C720,Customers!$A$2:$A$1001,Customers!$B$2:$B$1001,0)</f>
        <v>Darice Heaford</v>
      </c>
      <c r="G720" s="2" t="str">
        <f>IF(_xlfn.XLOOKUP(C720,Customers!$A$2:$A$1001,Customers!$C$2:$C$1001)=0,"",_xlfn.XLOOKUP(C720,Customers!$A$2:$A$1001,Customers!$C$2:$C$1001))</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_xlfn.XLOOKUP(Orders[[#This Row],[Customer ID]],Customers!$A$2:$A$1001,Customers!$I$2:$I$1001,0)</f>
        <v>No</v>
      </c>
    </row>
    <row r="721" spans="1:16" x14ac:dyDescent="0.3">
      <c r="A721" s="2" t="s">
        <v>4551</v>
      </c>
      <c r="B721" s="3">
        <v>44150</v>
      </c>
      <c r="C721" s="2" t="s">
        <v>4552</v>
      </c>
      <c r="D721" t="s">
        <v>6170</v>
      </c>
      <c r="E721" s="2">
        <v>5</v>
      </c>
      <c r="F721" s="2" t="str">
        <f>_xlfn.XLOOKUP(C721,Customers!$A$2:$A$1001,Customers!$B$2:$B$1001,0)</f>
        <v>Granger Fantham</v>
      </c>
      <c r="G721" s="2" t="str">
        <f>IF(_xlfn.XLOOKUP(C721,Customers!$A$2:$A$1001,Customers!$C$2:$C$1001)=0,"",_xlfn.XLOOKUP(C721,Customers!$A$2:$A$1001,Customers!$C$2:$C$1001))</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_xlfn.XLOOKUP(Orders[[#This Row],[Customer ID]],Customers!$A$2:$A$1001,Customers!$I$2:$I$1001,0)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IF(_xlfn.XLOOKUP(C722,Customers!$A$2:$A$1001,Customers!$C$2:$C$1001)=0,"",_xlfn.XLOOKUP(C722,Customers!$A$2:$A$1001,Customers!$C$2:$C$1001))</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_xlfn.XLOOKUP(Orders[[#This Row],[Customer ID]],Customers!$A$2:$A$1001,Customers!$I$2:$I$1001,0)</f>
        <v>Yes</v>
      </c>
    </row>
    <row r="723" spans="1:16" x14ac:dyDescent="0.3">
      <c r="A723" s="2" t="s">
        <v>4563</v>
      </c>
      <c r="B723" s="3">
        <v>44479</v>
      </c>
      <c r="C723" s="2" t="s">
        <v>4564</v>
      </c>
      <c r="D723" t="s">
        <v>6174</v>
      </c>
      <c r="E723" s="2">
        <v>3</v>
      </c>
      <c r="F723" s="2" t="str">
        <f>_xlfn.XLOOKUP(C723,Customers!$A$2:$A$1001,Customers!$B$2:$B$1001,0)</f>
        <v>Niels Leake</v>
      </c>
      <c r="G723" s="2" t="str">
        <f>IF(_xlfn.XLOOKUP(C723,Customers!$A$2:$A$1001,Customers!$C$2:$C$1001)=0,"",_xlfn.XLOOKUP(C723,Customers!$A$2:$A$1001,Customers!$C$2:$C$1001))</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_xlfn.XLOOKUP(Orders[[#This Row],[Customer ID]],Customers!$A$2:$A$1001,Customers!$I$2:$I$1001,0)</f>
        <v>Yes</v>
      </c>
    </row>
    <row r="724" spans="1:16" x14ac:dyDescent="0.3">
      <c r="A724" s="2" t="s">
        <v>4569</v>
      </c>
      <c r="B724" s="3">
        <v>44620</v>
      </c>
      <c r="C724" s="2" t="s">
        <v>4570</v>
      </c>
      <c r="D724" t="s">
        <v>6183</v>
      </c>
      <c r="E724" s="2">
        <v>2</v>
      </c>
      <c r="F724" s="2" t="str">
        <f>_xlfn.XLOOKUP(C724,Customers!$A$2:$A$1001,Customers!$B$2:$B$1001,0)</f>
        <v>Hetti Measures</v>
      </c>
      <c r="G724" s="2" t="str">
        <f>IF(_xlfn.XLOOKUP(C724,Customers!$A$2:$A$1001,Customers!$C$2:$C$1001)=0,"",_xlfn.XLOOKUP(C724,Customers!$A$2:$A$1001,Customers!$C$2:$C$1001))</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_xlfn.XLOOKUP(Orders[[#This Row],[Customer ID]],Customers!$A$2:$A$1001,Customers!$I$2:$I$1001,0)</f>
        <v>No</v>
      </c>
    </row>
    <row r="725" spans="1:16" x14ac:dyDescent="0.3">
      <c r="A725" s="2" t="s">
        <v>4574</v>
      </c>
      <c r="B725" s="3">
        <v>44470</v>
      </c>
      <c r="C725" s="2" t="s">
        <v>4575</v>
      </c>
      <c r="D725" t="s">
        <v>6166</v>
      </c>
      <c r="E725" s="2">
        <v>2</v>
      </c>
      <c r="F725" s="2" t="str">
        <f>_xlfn.XLOOKUP(C725,Customers!$A$2:$A$1001,Customers!$B$2:$B$1001,0)</f>
        <v>Gay Eilhersen</v>
      </c>
      <c r="G725" s="2" t="str">
        <f>IF(_xlfn.XLOOKUP(C725,Customers!$A$2:$A$1001,Customers!$C$2:$C$1001)=0,"",_xlfn.XLOOKUP(C725,Customers!$A$2:$A$1001,Customers!$C$2:$C$1001))</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_xlfn.XLOOKUP(Orders[[#This Row],[Customer ID]],Customers!$A$2:$A$1001,Customers!$I$2:$I$1001,0)</f>
        <v>No</v>
      </c>
    </row>
    <row r="726" spans="1:16" x14ac:dyDescent="0.3">
      <c r="A726" s="2" t="s">
        <v>4580</v>
      </c>
      <c r="B726" s="3">
        <v>44076</v>
      </c>
      <c r="C726" s="2" t="s">
        <v>4581</v>
      </c>
      <c r="D726" t="s">
        <v>6152</v>
      </c>
      <c r="E726" s="2">
        <v>2</v>
      </c>
      <c r="F726" s="2" t="str">
        <f>_xlfn.XLOOKUP(C726,Customers!$A$2:$A$1001,Customers!$B$2:$B$1001,0)</f>
        <v>Nico Hubert</v>
      </c>
      <c r="G726" s="2" t="str">
        <f>IF(_xlfn.XLOOKUP(C726,Customers!$A$2:$A$1001,Customers!$C$2:$C$1001)=0,"",_xlfn.XLOOKUP(C726,Customers!$A$2:$A$1001,Customers!$C$2:$C$1001))</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_xlfn.XLOOKUP(Orders[[#This Row],[Customer ID]],Customers!$A$2:$A$1001,Customers!$I$2:$I$1001,0)</f>
        <v>Yes</v>
      </c>
    </row>
    <row r="727" spans="1:16" x14ac:dyDescent="0.3">
      <c r="A727" s="2" t="s">
        <v>4585</v>
      </c>
      <c r="B727" s="3">
        <v>44043</v>
      </c>
      <c r="C727" s="2" t="s">
        <v>4586</v>
      </c>
      <c r="D727" t="s">
        <v>6167</v>
      </c>
      <c r="E727" s="2">
        <v>6</v>
      </c>
      <c r="F727" s="2" t="str">
        <f>_xlfn.XLOOKUP(C727,Customers!$A$2:$A$1001,Customers!$B$2:$B$1001,0)</f>
        <v>Cristina Aleixo</v>
      </c>
      <c r="G727" s="2" t="str">
        <f>IF(_xlfn.XLOOKUP(C727,Customers!$A$2:$A$1001,Customers!$C$2:$C$1001)=0,"",_xlfn.XLOOKUP(C727,Customers!$A$2:$A$1001,Customers!$C$2:$C$1001))</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_xlfn.XLOOKUP(Orders[[#This Row],[Customer ID]],Customers!$A$2:$A$1001,Customers!$I$2:$I$1001,0)</f>
        <v>No</v>
      </c>
    </row>
    <row r="728" spans="1:16" x14ac:dyDescent="0.3">
      <c r="A728" s="2" t="s">
        <v>4591</v>
      </c>
      <c r="B728" s="3">
        <v>44571</v>
      </c>
      <c r="C728" s="2" t="s">
        <v>4592</v>
      </c>
      <c r="D728" t="s">
        <v>6164</v>
      </c>
      <c r="E728" s="2">
        <v>4</v>
      </c>
      <c r="F728" s="2" t="str">
        <f>_xlfn.XLOOKUP(C728,Customers!$A$2:$A$1001,Customers!$B$2:$B$1001,0)</f>
        <v>Derrek Allpress</v>
      </c>
      <c r="G728" s="2" t="str">
        <f>IF(_xlfn.XLOOKUP(C728,Customers!$A$2:$A$1001,Customers!$C$2:$C$1001)=0,"",_xlfn.XLOOKUP(C728,Customers!$A$2:$A$1001,Customers!$C$2:$C$1001))</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_xlfn.XLOOKUP(Orders[[#This Row],[Customer ID]],Customers!$A$2:$A$1001,Customers!$I$2:$I$1001,0)</f>
        <v>No</v>
      </c>
    </row>
    <row r="729" spans="1:16" x14ac:dyDescent="0.3">
      <c r="A729" s="2" t="s">
        <v>4596</v>
      </c>
      <c r="B729" s="3">
        <v>44264</v>
      </c>
      <c r="C729" s="2" t="s">
        <v>4597</v>
      </c>
      <c r="D729" t="s">
        <v>6146</v>
      </c>
      <c r="E729" s="2">
        <v>5</v>
      </c>
      <c r="F729" s="2" t="str">
        <f>_xlfn.XLOOKUP(C729,Customers!$A$2:$A$1001,Customers!$B$2:$B$1001,0)</f>
        <v>Rikki Tomkowicz</v>
      </c>
      <c r="G729" s="2" t="str">
        <f>IF(_xlfn.XLOOKUP(C729,Customers!$A$2:$A$1001,Customers!$C$2:$C$1001)=0,"",_xlfn.XLOOKUP(C729,Customers!$A$2:$A$1001,Customers!$C$2:$C$1001))</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_xlfn.XLOOKUP(Orders[[#This Row],[Customer ID]],Customers!$A$2:$A$1001,Customers!$I$2:$I$1001,0)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IF(_xlfn.XLOOKUP(C730,Customers!$A$2:$A$1001,Customers!$C$2:$C$1001)=0,"",_xlfn.XLOOKUP(C730,Customers!$A$2:$A$1001,Customers!$C$2:$C$1001))</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_xlfn.XLOOKUP(Orders[[#This Row],[Customer ID]],Customers!$A$2:$A$1001,Customers!$I$2:$I$1001,0)</f>
        <v>Yes</v>
      </c>
    </row>
    <row r="731" spans="1:16" x14ac:dyDescent="0.3">
      <c r="A731" s="2" t="s">
        <v>4608</v>
      </c>
      <c r="B731" s="3">
        <v>44634</v>
      </c>
      <c r="C731" s="2" t="s">
        <v>4609</v>
      </c>
      <c r="D731" t="s">
        <v>6159</v>
      </c>
      <c r="E731" s="2">
        <v>1</v>
      </c>
      <c r="F731" s="2" t="str">
        <f>_xlfn.XLOOKUP(C731,Customers!$A$2:$A$1001,Customers!$B$2:$B$1001,0)</f>
        <v>Selle Scurrer</v>
      </c>
      <c r="G731" s="2" t="str">
        <f>IF(_xlfn.XLOOKUP(C731,Customers!$A$2:$A$1001,Customers!$C$2:$C$1001)=0,"",_xlfn.XLOOKUP(C731,Customers!$A$2:$A$1001,Customers!$C$2:$C$1001))</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_xlfn.XLOOKUP(Orders[[#This Row],[Customer ID]],Customers!$A$2:$A$1001,Customers!$I$2:$I$1001,0)</f>
        <v>No</v>
      </c>
    </row>
    <row r="732" spans="1:16" x14ac:dyDescent="0.3">
      <c r="A732" s="2" t="s">
        <v>4614</v>
      </c>
      <c r="B732" s="3">
        <v>43475</v>
      </c>
      <c r="C732" s="2" t="s">
        <v>4615</v>
      </c>
      <c r="D732" t="s">
        <v>6164</v>
      </c>
      <c r="E732" s="2">
        <v>1</v>
      </c>
      <c r="F732" s="2" t="str">
        <f>_xlfn.XLOOKUP(C732,Customers!$A$2:$A$1001,Customers!$B$2:$B$1001,0)</f>
        <v>Andie Rudram</v>
      </c>
      <c r="G732" s="2" t="str">
        <f>IF(_xlfn.XLOOKUP(C732,Customers!$A$2:$A$1001,Customers!$C$2:$C$1001)=0,"",_xlfn.XLOOKUP(C732,Customers!$A$2:$A$1001,Customers!$C$2:$C$1001))</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_xlfn.XLOOKUP(Orders[[#This Row],[Customer ID]],Customers!$A$2:$A$1001,Customers!$I$2:$I$1001,0)</f>
        <v>No</v>
      </c>
    </row>
    <row r="733" spans="1:16" x14ac:dyDescent="0.3">
      <c r="A733" s="2" t="s">
        <v>4620</v>
      </c>
      <c r="B733" s="3">
        <v>44222</v>
      </c>
      <c r="C733" s="2" t="s">
        <v>4621</v>
      </c>
      <c r="D733" t="s">
        <v>6150</v>
      </c>
      <c r="E733" s="2">
        <v>4</v>
      </c>
      <c r="F733" s="2" t="str">
        <f>_xlfn.XLOOKUP(C733,Customers!$A$2:$A$1001,Customers!$B$2:$B$1001,0)</f>
        <v>Leta Clarricoates</v>
      </c>
      <c r="G733" s="2" t="str">
        <f>IF(_xlfn.XLOOKUP(C733,Customers!$A$2:$A$1001,Customers!$C$2:$C$1001)=0,"",_xlfn.XLOOKUP(C733,Customers!$A$2:$A$1001,Customers!$C$2:$C$1001))</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_xlfn.XLOOKUP(Orders[[#This Row],[Customer ID]],Customers!$A$2:$A$1001,Customers!$I$2:$I$1001,0)</f>
        <v>Yes</v>
      </c>
    </row>
    <row r="734" spans="1:16" x14ac:dyDescent="0.3">
      <c r="A734" s="2" t="s">
        <v>4625</v>
      </c>
      <c r="B734" s="3">
        <v>44312</v>
      </c>
      <c r="C734" s="2" t="s">
        <v>4626</v>
      </c>
      <c r="D734" t="s">
        <v>6184</v>
      </c>
      <c r="E734" s="2">
        <v>2</v>
      </c>
      <c r="F734" s="2" t="str">
        <f>_xlfn.XLOOKUP(C734,Customers!$A$2:$A$1001,Customers!$B$2:$B$1001,0)</f>
        <v>Jacquelyn Maha</v>
      </c>
      <c r="G734" s="2" t="str">
        <f>IF(_xlfn.XLOOKUP(C734,Customers!$A$2:$A$1001,Customers!$C$2:$C$1001)=0,"",_xlfn.XLOOKUP(C734,Customers!$A$2:$A$1001,Customers!$C$2:$C$1001))</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_xlfn.XLOOKUP(Orders[[#This Row],[Customer ID]],Customers!$A$2:$A$1001,Customers!$I$2:$I$1001,0)</f>
        <v>No</v>
      </c>
    </row>
    <row r="735" spans="1:16" x14ac:dyDescent="0.3">
      <c r="A735" s="2" t="s">
        <v>4631</v>
      </c>
      <c r="B735" s="3">
        <v>44565</v>
      </c>
      <c r="C735" s="2" t="s">
        <v>4632</v>
      </c>
      <c r="D735" t="s">
        <v>6181</v>
      </c>
      <c r="E735" s="2">
        <v>3</v>
      </c>
      <c r="F735" s="2" t="str">
        <f>_xlfn.XLOOKUP(C735,Customers!$A$2:$A$1001,Customers!$B$2:$B$1001,0)</f>
        <v>Glory Clemon</v>
      </c>
      <c r="G735" s="2" t="str">
        <f>IF(_xlfn.XLOOKUP(C735,Customers!$A$2:$A$1001,Customers!$C$2:$C$1001)=0,"",_xlfn.XLOOKUP(C735,Customers!$A$2:$A$1001,Customers!$C$2:$C$1001))</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_xlfn.XLOOKUP(Orders[[#This Row],[Customer ID]],Customers!$A$2:$A$1001,Customers!$I$2:$I$1001,0)</f>
        <v>Yes</v>
      </c>
    </row>
    <row r="736" spans="1:16" x14ac:dyDescent="0.3">
      <c r="A736" s="2" t="s">
        <v>4637</v>
      </c>
      <c r="B736" s="3">
        <v>43697</v>
      </c>
      <c r="C736" s="2" t="s">
        <v>4638</v>
      </c>
      <c r="D736" t="s">
        <v>6163</v>
      </c>
      <c r="E736" s="2">
        <v>5</v>
      </c>
      <c r="F736" s="2" t="str">
        <f>_xlfn.XLOOKUP(C736,Customers!$A$2:$A$1001,Customers!$B$2:$B$1001,0)</f>
        <v>Alica Kift</v>
      </c>
      <c r="G736" s="2" t="str">
        <f>IF(_xlfn.XLOOKUP(C736,Customers!$A$2:$A$1001,Customers!$C$2:$C$1001)=0,"",_xlfn.XLOOKUP(C736,Customers!$A$2:$A$1001,Customers!$C$2:$C$1001))</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_xlfn.XLOOKUP(Orders[[#This Row],[Customer ID]],Customers!$A$2:$A$1001,Customers!$I$2:$I$1001,0)</f>
        <v>No</v>
      </c>
    </row>
    <row r="737" spans="1:16" x14ac:dyDescent="0.3">
      <c r="A737" s="2" t="s">
        <v>4642</v>
      </c>
      <c r="B737" s="3">
        <v>44757</v>
      </c>
      <c r="C737" s="2" t="s">
        <v>4643</v>
      </c>
      <c r="D737" t="s">
        <v>6153</v>
      </c>
      <c r="E737" s="2">
        <v>6</v>
      </c>
      <c r="F737" s="2" t="str">
        <f>_xlfn.XLOOKUP(C737,Customers!$A$2:$A$1001,Customers!$B$2:$B$1001,0)</f>
        <v>Babb Pollins</v>
      </c>
      <c r="G737" s="2" t="str">
        <f>IF(_xlfn.XLOOKUP(C737,Customers!$A$2:$A$1001,Customers!$C$2:$C$1001)=0,"",_xlfn.XLOOKUP(C737,Customers!$A$2:$A$1001,Customers!$C$2:$C$1001))</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_xlfn.XLOOKUP(Orders[[#This Row],[Customer ID]],Customers!$A$2:$A$1001,Customers!$I$2:$I$1001,0)</f>
        <v>No</v>
      </c>
    </row>
    <row r="738" spans="1:16" x14ac:dyDescent="0.3">
      <c r="A738" s="2" t="s">
        <v>4647</v>
      </c>
      <c r="B738" s="3">
        <v>43508</v>
      </c>
      <c r="C738" s="2" t="s">
        <v>4648</v>
      </c>
      <c r="D738" t="s">
        <v>6143</v>
      </c>
      <c r="E738" s="2">
        <v>2</v>
      </c>
      <c r="F738" s="2" t="str">
        <f>_xlfn.XLOOKUP(C738,Customers!$A$2:$A$1001,Customers!$B$2:$B$1001,0)</f>
        <v>Jarret Toye</v>
      </c>
      <c r="G738" s="2" t="str">
        <f>IF(_xlfn.XLOOKUP(C738,Customers!$A$2:$A$1001,Customers!$C$2:$C$1001)=0,"",_xlfn.XLOOKUP(C738,Customers!$A$2:$A$1001,Customers!$C$2:$C$1001))</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_xlfn.XLOOKUP(Orders[[#This Row],[Customer ID]],Customers!$A$2:$A$1001,Customers!$I$2:$I$1001,0)</f>
        <v>Yes</v>
      </c>
    </row>
    <row r="739" spans="1:16" x14ac:dyDescent="0.3">
      <c r="A739" s="2" t="s">
        <v>4653</v>
      </c>
      <c r="B739" s="3">
        <v>44447</v>
      </c>
      <c r="C739" s="2" t="s">
        <v>4654</v>
      </c>
      <c r="D739" t="s">
        <v>6155</v>
      </c>
      <c r="E739" s="2">
        <v>5</v>
      </c>
      <c r="F739" s="2" t="str">
        <f>_xlfn.XLOOKUP(C739,Customers!$A$2:$A$1001,Customers!$B$2:$B$1001,0)</f>
        <v>Carlie Linskill</v>
      </c>
      <c r="G739" s="2" t="str">
        <f>IF(_xlfn.XLOOKUP(C739,Customers!$A$2:$A$1001,Customers!$C$2:$C$1001)=0,"",_xlfn.XLOOKUP(C739,Customers!$A$2:$A$1001,Customers!$C$2:$C$1001))</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_xlfn.XLOOKUP(Orders[[#This Row],[Customer ID]],Customers!$A$2:$A$1001,Customers!$I$2:$I$1001,0)</f>
        <v>No</v>
      </c>
    </row>
    <row r="740" spans="1:16" x14ac:dyDescent="0.3">
      <c r="A740" s="2" t="s">
        <v>4659</v>
      </c>
      <c r="B740" s="3">
        <v>43812</v>
      </c>
      <c r="C740" s="2" t="s">
        <v>4660</v>
      </c>
      <c r="D740" t="s">
        <v>6178</v>
      </c>
      <c r="E740" s="2">
        <v>3</v>
      </c>
      <c r="F740" s="2" t="str">
        <f>_xlfn.XLOOKUP(C740,Customers!$A$2:$A$1001,Customers!$B$2:$B$1001,0)</f>
        <v>Natal Vigrass</v>
      </c>
      <c r="G740" s="2" t="str">
        <f>IF(_xlfn.XLOOKUP(C740,Customers!$A$2:$A$1001,Customers!$C$2:$C$1001)=0,"",_xlfn.XLOOKUP(C740,Customers!$A$2:$A$1001,Customers!$C$2:$C$1001))</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_xlfn.XLOOKUP(Orders[[#This Row],[Customer ID]],Customers!$A$2:$A$1001,Customers!$I$2:$I$1001,0)</f>
        <v>No</v>
      </c>
    </row>
    <row r="741" spans="1:16" x14ac:dyDescent="0.3">
      <c r="A741" s="2" t="s">
        <v>4665</v>
      </c>
      <c r="B741" s="3">
        <v>44433</v>
      </c>
      <c r="C741" s="2" t="s">
        <v>4434</v>
      </c>
      <c r="D741" t="s">
        <v>6153</v>
      </c>
      <c r="E741" s="2">
        <v>5</v>
      </c>
      <c r="F741" s="2" t="str">
        <f>_xlfn.XLOOKUP(C741,Customers!$A$2:$A$1001,Customers!$B$2:$B$1001,0)</f>
        <v>Jimmy Dymoke</v>
      </c>
      <c r="G741" s="2" t="str">
        <f>IF(_xlfn.XLOOKUP(C741,Customers!$A$2:$A$1001,Customers!$C$2:$C$1001)=0,"",_xlfn.XLOOKUP(C741,Customers!$A$2:$A$1001,Customers!$C$2:$C$1001))</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_xlfn.XLOOKUP(Orders[[#This Row],[Customer ID]],Customers!$A$2:$A$1001,Customers!$I$2:$I$1001,0)</f>
        <v>No</v>
      </c>
    </row>
    <row r="742" spans="1:16" x14ac:dyDescent="0.3">
      <c r="A742" s="2" t="s">
        <v>4670</v>
      </c>
      <c r="B742" s="3">
        <v>44643</v>
      </c>
      <c r="C742" s="2" t="s">
        <v>4671</v>
      </c>
      <c r="D742" t="s">
        <v>6173</v>
      </c>
      <c r="E742" s="2">
        <v>4</v>
      </c>
      <c r="F742" s="2" t="str">
        <f>_xlfn.XLOOKUP(C742,Customers!$A$2:$A$1001,Customers!$B$2:$B$1001,0)</f>
        <v>Kandace Cragell</v>
      </c>
      <c r="G742" s="2" t="str">
        <f>IF(_xlfn.XLOOKUP(C742,Customers!$A$2:$A$1001,Customers!$C$2:$C$1001)=0,"",_xlfn.XLOOKUP(C742,Customers!$A$2:$A$1001,Customers!$C$2:$C$1001))</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_xlfn.XLOOKUP(Orders[[#This Row],[Customer ID]],Customers!$A$2:$A$1001,Customers!$I$2:$I$1001,0)</f>
        <v>No</v>
      </c>
    </row>
    <row r="743" spans="1:16" x14ac:dyDescent="0.3">
      <c r="A743" s="2" t="s">
        <v>4676</v>
      </c>
      <c r="B743" s="3">
        <v>43566</v>
      </c>
      <c r="C743" s="2" t="s">
        <v>4677</v>
      </c>
      <c r="D743" t="s">
        <v>6159</v>
      </c>
      <c r="E743" s="2">
        <v>2</v>
      </c>
      <c r="F743" s="2" t="str">
        <f>_xlfn.XLOOKUP(C743,Customers!$A$2:$A$1001,Customers!$B$2:$B$1001,0)</f>
        <v>Lyon Ibert</v>
      </c>
      <c r="G743" s="2" t="str">
        <f>IF(_xlfn.XLOOKUP(C743,Customers!$A$2:$A$1001,Customers!$C$2:$C$1001)=0,"",_xlfn.XLOOKUP(C743,Customers!$A$2:$A$1001,Customers!$C$2:$C$1001))</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_xlfn.XLOOKUP(Orders[[#This Row],[Customer ID]],Customers!$A$2:$A$1001,Customers!$I$2:$I$1001,0)</f>
        <v>No</v>
      </c>
    </row>
    <row r="744" spans="1:16" x14ac:dyDescent="0.3">
      <c r="A744" s="2" t="s">
        <v>4682</v>
      </c>
      <c r="B744" s="3">
        <v>44133</v>
      </c>
      <c r="C744" s="2" t="s">
        <v>4683</v>
      </c>
      <c r="D744" t="s">
        <v>6162</v>
      </c>
      <c r="E744" s="2">
        <v>4</v>
      </c>
      <c r="F744" s="2" t="str">
        <f>_xlfn.XLOOKUP(C744,Customers!$A$2:$A$1001,Customers!$B$2:$B$1001,0)</f>
        <v>Reese Lidgey</v>
      </c>
      <c r="G744" s="2" t="str">
        <f>IF(_xlfn.XLOOKUP(C744,Customers!$A$2:$A$1001,Customers!$C$2:$C$1001)=0,"",_xlfn.XLOOKUP(C744,Customers!$A$2:$A$1001,Customers!$C$2:$C$1001))</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_xlfn.XLOOKUP(Orders[[#This Row],[Customer ID]],Customers!$A$2:$A$1001,Customers!$I$2:$I$1001,0)</f>
        <v>No</v>
      </c>
    </row>
    <row r="745" spans="1:16" x14ac:dyDescent="0.3">
      <c r="A745" s="2" t="s">
        <v>4688</v>
      </c>
      <c r="B745" s="3">
        <v>44042</v>
      </c>
      <c r="C745" s="2" t="s">
        <v>4689</v>
      </c>
      <c r="D745" t="s">
        <v>6158</v>
      </c>
      <c r="E745" s="2">
        <v>3</v>
      </c>
      <c r="F745" s="2" t="str">
        <f>_xlfn.XLOOKUP(C745,Customers!$A$2:$A$1001,Customers!$B$2:$B$1001,0)</f>
        <v>Tersina Castagne</v>
      </c>
      <c r="G745" s="2" t="str">
        <f>IF(_xlfn.XLOOKUP(C745,Customers!$A$2:$A$1001,Customers!$C$2:$C$1001)=0,"",_xlfn.XLOOKUP(C745,Customers!$A$2:$A$1001,Customers!$C$2:$C$1001))</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_xlfn.XLOOKUP(Orders[[#This Row],[Customer ID]],Customers!$A$2:$A$1001,Customers!$I$2:$I$1001,0)</f>
        <v>No</v>
      </c>
    </row>
    <row r="746" spans="1:16" x14ac:dyDescent="0.3">
      <c r="A746" s="2" t="s">
        <v>4694</v>
      </c>
      <c r="B746" s="3">
        <v>43539</v>
      </c>
      <c r="C746" s="2" t="s">
        <v>4695</v>
      </c>
      <c r="D746" t="s">
        <v>6174</v>
      </c>
      <c r="E746" s="2">
        <v>6</v>
      </c>
      <c r="F746" s="2" t="str">
        <f>_xlfn.XLOOKUP(C746,Customers!$A$2:$A$1001,Customers!$B$2:$B$1001,0)</f>
        <v>Samuele Klaaassen</v>
      </c>
      <c r="G746" s="2" t="str">
        <f>IF(_xlfn.XLOOKUP(C746,Customers!$A$2:$A$1001,Customers!$C$2:$C$1001)=0,"",_xlfn.XLOOKUP(C746,Customers!$A$2:$A$1001,Customers!$C$2:$C$1001))</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_xlfn.XLOOKUP(Orders[[#This Row],[Customer ID]],Customers!$A$2:$A$1001,Customers!$I$2:$I$1001,0)</f>
        <v>Yes</v>
      </c>
    </row>
    <row r="747" spans="1:16" x14ac:dyDescent="0.3">
      <c r="A747" s="2" t="s">
        <v>4699</v>
      </c>
      <c r="B747" s="3">
        <v>44557</v>
      </c>
      <c r="C747" s="2" t="s">
        <v>4700</v>
      </c>
      <c r="D747" t="s">
        <v>6144</v>
      </c>
      <c r="E747" s="2">
        <v>2</v>
      </c>
      <c r="F747" s="2" t="str">
        <f>_xlfn.XLOOKUP(C747,Customers!$A$2:$A$1001,Customers!$B$2:$B$1001,0)</f>
        <v>Jordana Halden</v>
      </c>
      <c r="G747" s="2" t="str">
        <f>IF(_xlfn.XLOOKUP(C747,Customers!$A$2:$A$1001,Customers!$C$2:$C$1001)=0,"",_xlfn.XLOOKUP(C747,Customers!$A$2:$A$1001,Customers!$C$2:$C$1001))</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_xlfn.XLOOKUP(Orders[[#This Row],[Customer ID]],Customers!$A$2:$A$1001,Customers!$I$2:$I$1001,0)</f>
        <v>No</v>
      </c>
    </row>
    <row r="748" spans="1:16" x14ac:dyDescent="0.3">
      <c r="A748" s="2" t="s">
        <v>4705</v>
      </c>
      <c r="B748" s="3">
        <v>43741</v>
      </c>
      <c r="C748" s="2" t="s">
        <v>4706</v>
      </c>
      <c r="D748" t="s">
        <v>6155</v>
      </c>
      <c r="E748" s="2">
        <v>3</v>
      </c>
      <c r="F748" s="2" t="str">
        <f>_xlfn.XLOOKUP(C748,Customers!$A$2:$A$1001,Customers!$B$2:$B$1001,0)</f>
        <v>Hussein Olliff</v>
      </c>
      <c r="G748" s="2" t="str">
        <f>IF(_xlfn.XLOOKUP(C748,Customers!$A$2:$A$1001,Customers!$C$2:$C$1001)=0,"",_xlfn.XLOOKUP(C748,Customers!$A$2:$A$1001,Customers!$C$2:$C$1001))</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_xlfn.XLOOKUP(Orders[[#This Row],[Customer ID]],Customers!$A$2:$A$1001,Customers!$I$2:$I$1001,0)</f>
        <v>No</v>
      </c>
    </row>
    <row r="749" spans="1:16" x14ac:dyDescent="0.3">
      <c r="A749" s="2" t="s">
        <v>4711</v>
      </c>
      <c r="B749" s="3">
        <v>43501</v>
      </c>
      <c r="C749" s="2" t="s">
        <v>4712</v>
      </c>
      <c r="D749" t="s">
        <v>6160</v>
      </c>
      <c r="E749" s="2">
        <v>4</v>
      </c>
      <c r="F749" s="2" t="str">
        <f>_xlfn.XLOOKUP(C749,Customers!$A$2:$A$1001,Customers!$B$2:$B$1001,0)</f>
        <v>Teddi Quadri</v>
      </c>
      <c r="G749" s="2" t="str">
        <f>IF(_xlfn.XLOOKUP(C749,Customers!$A$2:$A$1001,Customers!$C$2:$C$1001)=0,"",_xlfn.XLOOKUP(C749,Customers!$A$2:$A$1001,Customers!$C$2:$C$1001))</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_xlfn.XLOOKUP(Orders[[#This Row],[Customer ID]],Customers!$A$2:$A$1001,Customers!$I$2:$I$1001,0)</f>
        <v>Yes</v>
      </c>
    </row>
    <row r="750" spans="1:16" x14ac:dyDescent="0.3">
      <c r="A750" s="2" t="s">
        <v>4717</v>
      </c>
      <c r="B750" s="3">
        <v>44074</v>
      </c>
      <c r="C750" s="2" t="s">
        <v>4718</v>
      </c>
      <c r="D750" t="s">
        <v>6144</v>
      </c>
      <c r="E750" s="2">
        <v>2</v>
      </c>
      <c r="F750" s="2" t="str">
        <f>_xlfn.XLOOKUP(C750,Customers!$A$2:$A$1001,Customers!$B$2:$B$1001,0)</f>
        <v>Felita Eshmade</v>
      </c>
      <c r="G750" s="2" t="str">
        <f>IF(_xlfn.XLOOKUP(C750,Customers!$A$2:$A$1001,Customers!$C$2:$C$1001)=0,"",_xlfn.XLOOKUP(C750,Customers!$A$2:$A$1001,Customers!$C$2:$C$1001))</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_xlfn.XLOOKUP(Orders[[#This Row],[Customer ID]],Customers!$A$2:$A$1001,Customers!$I$2:$I$1001,0)</f>
        <v>No</v>
      </c>
    </row>
    <row r="751" spans="1:16" x14ac:dyDescent="0.3">
      <c r="A751" s="2" t="s">
        <v>4723</v>
      </c>
      <c r="B751" s="3">
        <v>44209</v>
      </c>
      <c r="C751" s="2" t="s">
        <v>4724</v>
      </c>
      <c r="D751" t="s">
        <v>6163</v>
      </c>
      <c r="E751" s="2">
        <v>2</v>
      </c>
      <c r="F751" s="2" t="str">
        <f>_xlfn.XLOOKUP(C751,Customers!$A$2:$A$1001,Customers!$B$2:$B$1001,0)</f>
        <v>Melodie OIlier</v>
      </c>
      <c r="G751" s="2" t="str">
        <f>IF(_xlfn.XLOOKUP(C751,Customers!$A$2:$A$1001,Customers!$C$2:$C$1001)=0,"",_xlfn.XLOOKUP(C751,Customers!$A$2:$A$1001,Customers!$C$2:$C$1001))</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_xlfn.XLOOKUP(Orders[[#This Row],[Customer ID]],Customers!$A$2:$A$1001,Customers!$I$2:$I$1001,0)</f>
        <v>Yes</v>
      </c>
    </row>
    <row r="752" spans="1:16" x14ac:dyDescent="0.3">
      <c r="A752" s="2" t="s">
        <v>4730</v>
      </c>
      <c r="B752" s="3">
        <v>44277</v>
      </c>
      <c r="C752" s="2" t="s">
        <v>4731</v>
      </c>
      <c r="D752" t="s">
        <v>6146</v>
      </c>
      <c r="E752" s="2">
        <v>1</v>
      </c>
      <c r="F752" s="2" t="str">
        <f>_xlfn.XLOOKUP(C752,Customers!$A$2:$A$1001,Customers!$B$2:$B$1001,0)</f>
        <v>Hazel Iacopini</v>
      </c>
      <c r="G752" s="2" t="str">
        <f>IF(_xlfn.XLOOKUP(C752,Customers!$A$2:$A$1001,Customers!$C$2:$C$1001)=0,"",_xlfn.XLOOKUP(C752,Customers!$A$2:$A$1001,Customers!$C$2:$C$1001))</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_xlfn.XLOOKUP(Orders[[#This Row],[Customer ID]],Customers!$A$2:$A$1001,Customers!$I$2:$I$1001,0)</f>
        <v>Yes</v>
      </c>
    </row>
    <row r="753" spans="1:16" x14ac:dyDescent="0.3">
      <c r="A753" s="2" t="s">
        <v>4735</v>
      </c>
      <c r="B753" s="3">
        <v>43847</v>
      </c>
      <c r="C753" s="2" t="s">
        <v>4736</v>
      </c>
      <c r="D753" t="s">
        <v>6161</v>
      </c>
      <c r="E753" s="2">
        <v>2</v>
      </c>
      <c r="F753" s="2" t="str">
        <f>_xlfn.XLOOKUP(C753,Customers!$A$2:$A$1001,Customers!$B$2:$B$1001,0)</f>
        <v>Vinny Shoebotham</v>
      </c>
      <c r="G753" s="2" t="str">
        <f>IF(_xlfn.XLOOKUP(C753,Customers!$A$2:$A$1001,Customers!$C$2:$C$1001)=0,"",_xlfn.XLOOKUP(C753,Customers!$A$2:$A$1001,Customers!$C$2:$C$1001))</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_xlfn.XLOOKUP(Orders[[#This Row],[Customer ID]],Customers!$A$2:$A$1001,Customers!$I$2:$I$1001,0)</f>
        <v>No</v>
      </c>
    </row>
    <row r="754" spans="1:16" x14ac:dyDescent="0.3">
      <c r="A754" s="2" t="s">
        <v>4741</v>
      </c>
      <c r="B754" s="3">
        <v>43648</v>
      </c>
      <c r="C754" s="2" t="s">
        <v>4742</v>
      </c>
      <c r="D754" t="s">
        <v>6141</v>
      </c>
      <c r="E754" s="2">
        <v>2</v>
      </c>
      <c r="F754" s="2" t="str">
        <f>_xlfn.XLOOKUP(C754,Customers!$A$2:$A$1001,Customers!$B$2:$B$1001,0)</f>
        <v>Bran Sterke</v>
      </c>
      <c r="G754" s="2" t="str">
        <f>IF(_xlfn.XLOOKUP(C754,Customers!$A$2:$A$1001,Customers!$C$2:$C$1001)=0,"",_xlfn.XLOOKUP(C754,Customers!$A$2:$A$1001,Customers!$C$2:$C$1001))</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_xlfn.XLOOKUP(Orders[[#This Row],[Customer ID]],Customers!$A$2:$A$1001,Customers!$I$2:$I$1001,0)</f>
        <v>Yes</v>
      </c>
    </row>
    <row r="755" spans="1:16" x14ac:dyDescent="0.3">
      <c r="A755" s="2" t="s">
        <v>4747</v>
      </c>
      <c r="B755" s="3">
        <v>44704</v>
      </c>
      <c r="C755" s="2" t="s">
        <v>4748</v>
      </c>
      <c r="D755" t="s">
        <v>6158</v>
      </c>
      <c r="E755" s="2">
        <v>5</v>
      </c>
      <c r="F755" s="2" t="str">
        <f>_xlfn.XLOOKUP(C755,Customers!$A$2:$A$1001,Customers!$B$2:$B$1001,0)</f>
        <v>Simone Capon</v>
      </c>
      <c r="G755" s="2" t="str">
        <f>IF(_xlfn.XLOOKUP(C755,Customers!$A$2:$A$1001,Customers!$C$2:$C$1001)=0,"",_xlfn.XLOOKUP(C755,Customers!$A$2:$A$1001,Customers!$C$2:$C$1001))</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_xlfn.XLOOKUP(Orders[[#This Row],[Customer ID]],Customers!$A$2:$A$1001,Customers!$I$2:$I$1001,0)</f>
        <v>No</v>
      </c>
    </row>
    <row r="756" spans="1:16" x14ac:dyDescent="0.3">
      <c r="A756" s="2" t="s">
        <v>4753</v>
      </c>
      <c r="B756" s="3">
        <v>44726</v>
      </c>
      <c r="C756" s="2" t="s">
        <v>4434</v>
      </c>
      <c r="D756" t="s">
        <v>6154</v>
      </c>
      <c r="E756" s="2">
        <v>6</v>
      </c>
      <c r="F756" s="2" t="str">
        <f>_xlfn.XLOOKUP(C756,Customers!$A$2:$A$1001,Customers!$B$2:$B$1001,0)</f>
        <v>Jimmy Dymoke</v>
      </c>
      <c r="G756" s="2" t="str">
        <f>IF(_xlfn.XLOOKUP(C756,Customers!$A$2:$A$1001,Customers!$C$2:$C$1001)=0,"",_xlfn.XLOOKUP(C756,Customers!$A$2:$A$1001,Customers!$C$2:$C$1001))</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_xlfn.XLOOKUP(Orders[[#This Row],[Customer ID]],Customers!$A$2:$A$1001,Customers!$I$2:$I$1001,0)</f>
        <v>No</v>
      </c>
    </row>
    <row r="757" spans="1:16" x14ac:dyDescent="0.3">
      <c r="A757" s="2" t="s">
        <v>4758</v>
      </c>
      <c r="B757" s="3">
        <v>44397</v>
      </c>
      <c r="C757" s="2" t="s">
        <v>4759</v>
      </c>
      <c r="D757" t="s">
        <v>6145</v>
      </c>
      <c r="E757" s="2">
        <v>6</v>
      </c>
      <c r="F757" s="2" t="str">
        <f>_xlfn.XLOOKUP(C757,Customers!$A$2:$A$1001,Customers!$B$2:$B$1001,0)</f>
        <v>Foster Constance</v>
      </c>
      <c r="G757" s="2" t="str">
        <f>IF(_xlfn.XLOOKUP(C757,Customers!$A$2:$A$1001,Customers!$C$2:$C$1001)=0,"",_xlfn.XLOOKUP(C757,Customers!$A$2:$A$1001,Customers!$C$2:$C$1001))</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_xlfn.XLOOKUP(Orders[[#This Row],[Customer ID]],Customers!$A$2:$A$1001,Customers!$I$2:$I$1001,0)</f>
        <v>No</v>
      </c>
    </row>
    <row r="758" spans="1:16" x14ac:dyDescent="0.3">
      <c r="A758" s="2" t="s">
        <v>4764</v>
      </c>
      <c r="B758" s="3">
        <v>44715</v>
      </c>
      <c r="C758" s="2" t="s">
        <v>4765</v>
      </c>
      <c r="D758" t="s">
        <v>6177</v>
      </c>
      <c r="E758" s="2">
        <v>4</v>
      </c>
      <c r="F758" s="2" t="str">
        <f>_xlfn.XLOOKUP(C758,Customers!$A$2:$A$1001,Customers!$B$2:$B$1001,0)</f>
        <v>Fernando Sulman</v>
      </c>
      <c r="G758" s="2" t="str">
        <f>IF(_xlfn.XLOOKUP(C758,Customers!$A$2:$A$1001,Customers!$C$2:$C$1001)=0,"",_xlfn.XLOOKUP(C758,Customers!$A$2:$A$1001,Customers!$C$2:$C$1001))</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_xlfn.XLOOKUP(Orders[[#This Row],[Customer ID]],Customers!$A$2:$A$1001,Customers!$I$2:$I$1001,0)</f>
        <v>Yes</v>
      </c>
    </row>
    <row r="759" spans="1:16" x14ac:dyDescent="0.3">
      <c r="A759" s="2" t="s">
        <v>4770</v>
      </c>
      <c r="B759" s="3">
        <v>43977</v>
      </c>
      <c r="C759" s="2" t="s">
        <v>4771</v>
      </c>
      <c r="D759" t="s">
        <v>6158</v>
      </c>
      <c r="E759" s="2">
        <v>3</v>
      </c>
      <c r="F759" s="2" t="str">
        <f>_xlfn.XLOOKUP(C759,Customers!$A$2:$A$1001,Customers!$B$2:$B$1001,0)</f>
        <v>Dorotea Hollyman</v>
      </c>
      <c r="G759" s="2" t="str">
        <f>IF(_xlfn.XLOOKUP(C759,Customers!$A$2:$A$1001,Customers!$C$2:$C$1001)=0,"",_xlfn.XLOOKUP(C759,Customers!$A$2:$A$1001,Customers!$C$2:$C$1001))</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_xlfn.XLOOKUP(Orders[[#This Row],[Customer ID]],Customers!$A$2:$A$1001,Customers!$I$2:$I$1001,0)</f>
        <v>Yes</v>
      </c>
    </row>
    <row r="760" spans="1:16" x14ac:dyDescent="0.3">
      <c r="A760" s="2" t="s">
        <v>4776</v>
      </c>
      <c r="B760" s="3">
        <v>43672</v>
      </c>
      <c r="C760" s="2" t="s">
        <v>4777</v>
      </c>
      <c r="D760" t="s">
        <v>6177</v>
      </c>
      <c r="E760" s="2">
        <v>1</v>
      </c>
      <c r="F760" s="2" t="str">
        <f>_xlfn.XLOOKUP(C760,Customers!$A$2:$A$1001,Customers!$B$2:$B$1001,0)</f>
        <v>Lorelei Nardoni</v>
      </c>
      <c r="G760" s="2" t="str">
        <f>IF(_xlfn.XLOOKUP(C760,Customers!$A$2:$A$1001,Customers!$C$2:$C$1001)=0,"",_xlfn.XLOOKUP(C760,Customers!$A$2:$A$1001,Customers!$C$2:$C$1001))</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_xlfn.XLOOKUP(Orders[[#This Row],[Customer ID]],Customers!$A$2:$A$1001,Customers!$I$2:$I$1001,0)</f>
        <v>No</v>
      </c>
    </row>
    <row r="761" spans="1:16" x14ac:dyDescent="0.3">
      <c r="A761" s="2" t="s">
        <v>4781</v>
      </c>
      <c r="B761" s="3">
        <v>44126</v>
      </c>
      <c r="C761" s="2" t="s">
        <v>4782</v>
      </c>
      <c r="D761" t="s">
        <v>6165</v>
      </c>
      <c r="E761" s="2">
        <v>1</v>
      </c>
      <c r="F761" s="2" t="str">
        <f>_xlfn.XLOOKUP(C761,Customers!$A$2:$A$1001,Customers!$B$2:$B$1001,0)</f>
        <v>Dallas Yarham</v>
      </c>
      <c r="G761" s="2" t="str">
        <f>IF(_xlfn.XLOOKUP(C761,Customers!$A$2:$A$1001,Customers!$C$2:$C$1001)=0,"",_xlfn.XLOOKUP(C761,Customers!$A$2:$A$1001,Customers!$C$2:$C$1001))</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_xlfn.XLOOKUP(Orders[[#This Row],[Customer ID]],Customers!$A$2:$A$1001,Customers!$I$2:$I$1001,0)</f>
        <v>Yes</v>
      </c>
    </row>
    <row r="762" spans="1:16" x14ac:dyDescent="0.3">
      <c r="A762" s="2" t="s">
        <v>4787</v>
      </c>
      <c r="B762" s="3">
        <v>44189</v>
      </c>
      <c r="C762" s="2" t="s">
        <v>4788</v>
      </c>
      <c r="D762" t="s">
        <v>6176</v>
      </c>
      <c r="E762" s="2">
        <v>5</v>
      </c>
      <c r="F762" s="2" t="str">
        <f>_xlfn.XLOOKUP(C762,Customers!$A$2:$A$1001,Customers!$B$2:$B$1001,0)</f>
        <v>Arlana Ferrea</v>
      </c>
      <c r="G762" s="2" t="str">
        <f>IF(_xlfn.XLOOKUP(C762,Customers!$A$2:$A$1001,Customers!$C$2:$C$1001)=0,"",_xlfn.XLOOKUP(C762,Customers!$A$2:$A$1001,Customers!$C$2:$C$1001))</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_xlfn.XLOOKUP(Orders[[#This Row],[Customer ID]],Customers!$A$2:$A$1001,Customers!$I$2:$I$1001,0)</f>
        <v>No</v>
      </c>
    </row>
    <row r="763" spans="1:16" x14ac:dyDescent="0.3">
      <c r="A763" s="2" t="s">
        <v>4792</v>
      </c>
      <c r="B763" s="3">
        <v>43714</v>
      </c>
      <c r="C763" s="2" t="s">
        <v>4793</v>
      </c>
      <c r="D763" t="s">
        <v>6171</v>
      </c>
      <c r="E763" s="2">
        <v>6</v>
      </c>
      <c r="F763" s="2" t="str">
        <f>_xlfn.XLOOKUP(C763,Customers!$A$2:$A$1001,Customers!$B$2:$B$1001,0)</f>
        <v>Chuck Kendrick</v>
      </c>
      <c r="G763" s="2" t="str">
        <f>IF(_xlfn.XLOOKUP(C763,Customers!$A$2:$A$1001,Customers!$C$2:$C$1001)=0,"",_xlfn.XLOOKUP(C763,Customers!$A$2:$A$1001,Customers!$C$2:$C$1001))</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_xlfn.XLOOKUP(Orders[[#This Row],[Customer ID]],Customers!$A$2:$A$1001,Customers!$I$2:$I$1001,0)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IF(_xlfn.XLOOKUP(C764,Customers!$A$2:$A$1001,Customers!$C$2:$C$1001)=0,"",_xlfn.XLOOKUP(C764,Customers!$A$2:$A$1001,Customers!$C$2:$C$1001))</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_xlfn.XLOOKUP(Orders[[#This Row],[Customer ID]],Customers!$A$2:$A$1001,Customers!$I$2:$I$1001,0)</f>
        <v>No</v>
      </c>
    </row>
    <row r="765" spans="1:16" x14ac:dyDescent="0.3">
      <c r="A765" s="2" t="s">
        <v>4803</v>
      </c>
      <c r="B765" s="3">
        <v>44587</v>
      </c>
      <c r="C765" s="2" t="s">
        <v>4804</v>
      </c>
      <c r="D765" t="s">
        <v>6180</v>
      </c>
      <c r="E765" s="2">
        <v>3</v>
      </c>
      <c r="F765" s="2" t="str">
        <f>_xlfn.XLOOKUP(C765,Customers!$A$2:$A$1001,Customers!$B$2:$B$1001,0)</f>
        <v>Sarajane Potter</v>
      </c>
      <c r="G765" s="2" t="str">
        <f>IF(_xlfn.XLOOKUP(C765,Customers!$A$2:$A$1001,Customers!$C$2:$C$1001)=0,"",_xlfn.XLOOKUP(C765,Customers!$A$2:$A$1001,Customers!$C$2:$C$1001))</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_xlfn.XLOOKUP(Orders[[#This Row],[Customer ID]],Customers!$A$2:$A$1001,Customers!$I$2:$I$1001,0)</f>
        <v>No</v>
      </c>
    </row>
    <row r="766" spans="1:16" x14ac:dyDescent="0.3">
      <c r="A766" s="2" t="s">
        <v>4808</v>
      </c>
      <c r="B766" s="3">
        <v>43797</v>
      </c>
      <c r="C766" s="2" t="s">
        <v>4809</v>
      </c>
      <c r="D766" t="s">
        <v>6182</v>
      </c>
      <c r="E766" s="2">
        <v>6</v>
      </c>
      <c r="F766" s="2" t="str">
        <f>_xlfn.XLOOKUP(C766,Customers!$A$2:$A$1001,Customers!$B$2:$B$1001,0)</f>
        <v>Bobby Folomkin</v>
      </c>
      <c r="G766" s="2" t="str">
        <f>IF(_xlfn.XLOOKUP(C766,Customers!$A$2:$A$1001,Customers!$C$2:$C$1001)=0,"",_xlfn.XLOOKUP(C766,Customers!$A$2:$A$1001,Customers!$C$2:$C$1001))</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_xlfn.XLOOKUP(Orders[[#This Row],[Customer ID]],Customers!$A$2:$A$1001,Customers!$I$2:$I$1001,0)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IF(_xlfn.XLOOKUP(C767,Customers!$A$2:$A$1001,Customers!$C$2:$C$1001)=0,"",_xlfn.XLOOKUP(C767,Customers!$A$2:$A$1001,Customers!$C$2:$C$1001))</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_xlfn.XLOOKUP(Orders[[#This Row],[Customer ID]],Customers!$A$2:$A$1001,Customers!$I$2:$I$1001,0)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IF(_xlfn.XLOOKUP(C768,Customers!$A$2:$A$1001,Customers!$C$2:$C$1001)=0,"",_xlfn.XLOOKUP(C768,Customers!$A$2:$A$1001,Customers!$C$2:$C$1001))</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_xlfn.XLOOKUP(Orders[[#This Row],[Customer ID]],Customers!$A$2:$A$1001,Customers!$I$2:$I$1001,0)</f>
        <v>Yes</v>
      </c>
    </row>
    <row r="769" spans="1:16" x14ac:dyDescent="0.3">
      <c r="A769" s="2" t="s">
        <v>4825</v>
      </c>
      <c r="B769" s="3">
        <v>44267</v>
      </c>
      <c r="C769" s="2" t="s">
        <v>4759</v>
      </c>
      <c r="D769" t="s">
        <v>6182</v>
      </c>
      <c r="E769" s="2">
        <v>3</v>
      </c>
      <c r="F769" s="2" t="str">
        <f>_xlfn.XLOOKUP(C769,Customers!$A$2:$A$1001,Customers!$B$2:$B$1001,0)</f>
        <v>Foster Constance</v>
      </c>
      <c r="G769" s="2" t="str">
        <f>IF(_xlfn.XLOOKUP(C769,Customers!$A$2:$A$1001,Customers!$C$2:$C$1001)=0,"",_xlfn.XLOOKUP(C769,Customers!$A$2:$A$1001,Customers!$C$2:$C$1001))</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_xlfn.XLOOKUP(Orders[[#This Row],[Customer ID]],Customers!$A$2:$A$1001,Customers!$I$2:$I$1001,0)</f>
        <v>No</v>
      </c>
    </row>
    <row r="770" spans="1:16" x14ac:dyDescent="0.3">
      <c r="A770" s="2" t="s">
        <v>4831</v>
      </c>
      <c r="B770" s="3">
        <v>44562</v>
      </c>
      <c r="C770" s="2" t="s">
        <v>4759</v>
      </c>
      <c r="D770" t="s">
        <v>6179</v>
      </c>
      <c r="E770" s="2">
        <v>2</v>
      </c>
      <c r="F770" s="2" t="str">
        <f>_xlfn.XLOOKUP(C770,Customers!$A$2:$A$1001,Customers!$B$2:$B$1001,0)</f>
        <v>Foster Constance</v>
      </c>
      <c r="G770" s="2" t="str">
        <f>IF(_xlfn.XLOOKUP(C770,Customers!$A$2:$A$1001,Customers!$C$2:$C$1001)=0,"",_xlfn.XLOOKUP(C770,Customers!$A$2:$A$1001,Customers!$C$2:$C$1001))</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ref="M770:M833" si="36">L770*E770</f>
        <v>23.9</v>
      </c>
      <c r="N770" t="str">
        <f t="shared" ref="N770:N833" si="37">IF(I770="Rob","Robusta",IF(I770="Exc","Excelsa",IF(I770="Ara","Arabica",IF(I770="Lib","Liberica",""))))</f>
        <v>Robusta</v>
      </c>
      <c r="O770" t="str">
        <f t="shared" ref="O770:O833" si="38">IF(J770="M","Medium",IF(J770="L","Light",IF(J770="D","Dark","")))</f>
        <v>Light</v>
      </c>
      <c r="P770" t="str">
        <f>_xlfn.XLOOKUP(Orders[[#This Row],[Customer ID]],Customers!$A$2:$A$1001,Customers!$I$2:$I$1001,0)</f>
        <v>No</v>
      </c>
    </row>
    <row r="771" spans="1:16" x14ac:dyDescent="0.3">
      <c r="A771" s="2" t="s">
        <v>4836</v>
      </c>
      <c r="B771" s="3">
        <v>43912</v>
      </c>
      <c r="C771" s="2" t="s">
        <v>4837</v>
      </c>
      <c r="D771" t="s">
        <v>6151</v>
      </c>
      <c r="E771" s="2">
        <v>6</v>
      </c>
      <c r="F771" s="2" t="str">
        <f>_xlfn.XLOOKUP(C771,Customers!$A$2:$A$1001,Customers!$B$2:$B$1001,0)</f>
        <v>Dalia Eburah</v>
      </c>
      <c r="G771" s="2" t="str">
        <f>IF(_xlfn.XLOOKUP(C771,Customers!$A$2:$A$1001,Customers!$C$2:$C$1001)=0,"",_xlfn.XLOOKUP(C771,Customers!$A$2:$A$1001,Customers!$C$2:$C$1001))</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si="36"/>
        <v>137.31</v>
      </c>
      <c r="N771" t="str">
        <f t="shared" si="37"/>
        <v>Robusta</v>
      </c>
      <c r="O771" t="str">
        <f t="shared" si="38"/>
        <v>Medium</v>
      </c>
      <c r="P771" t="str">
        <f>_xlfn.XLOOKUP(Orders[[#This Row],[Customer ID]],Customers!$A$2:$A$1001,Customers!$I$2:$I$1001,0)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IF(_xlfn.XLOOKUP(C772,Customers!$A$2:$A$1001,Customers!$C$2:$C$1001)=0,"",_xlfn.XLOOKUP(C772,Customers!$A$2:$A$1001,Customers!$C$2:$C$1001))</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_xlfn.XLOOKUP(Orders[[#This Row],[Customer ID]],Customers!$A$2:$A$1001,Customers!$I$2:$I$1001,0)</f>
        <v>No</v>
      </c>
    </row>
    <row r="773" spans="1:16" x14ac:dyDescent="0.3">
      <c r="A773" s="2" t="s">
        <v>4847</v>
      </c>
      <c r="B773" s="3">
        <v>43468</v>
      </c>
      <c r="C773" s="2" t="s">
        <v>4848</v>
      </c>
      <c r="D773" t="s">
        <v>6173</v>
      </c>
      <c r="E773" s="2">
        <v>3</v>
      </c>
      <c r="F773" s="2" t="str">
        <f>_xlfn.XLOOKUP(C773,Customers!$A$2:$A$1001,Customers!$B$2:$B$1001,0)</f>
        <v>Suzanna Bollam</v>
      </c>
      <c r="G773" s="2" t="str">
        <f>IF(_xlfn.XLOOKUP(C773,Customers!$A$2:$A$1001,Customers!$C$2:$C$1001)=0,"",_xlfn.XLOOKUP(C773,Customers!$A$2:$A$1001,Customers!$C$2:$C$1001))</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_xlfn.XLOOKUP(Orders[[#This Row],[Customer ID]],Customers!$A$2:$A$1001,Customers!$I$2:$I$1001,0)</f>
        <v>No</v>
      </c>
    </row>
    <row r="774" spans="1:16" x14ac:dyDescent="0.3">
      <c r="A774" s="2" t="s">
        <v>4853</v>
      </c>
      <c r="B774" s="3">
        <v>44468</v>
      </c>
      <c r="C774" s="2" t="s">
        <v>4854</v>
      </c>
      <c r="D774" t="s">
        <v>6141</v>
      </c>
      <c r="E774" s="2">
        <v>6</v>
      </c>
      <c r="F774" s="2" t="str">
        <f>_xlfn.XLOOKUP(C774,Customers!$A$2:$A$1001,Customers!$B$2:$B$1001,0)</f>
        <v>Mellisa Mebes</v>
      </c>
      <c r="G774" s="2" t="str">
        <f>IF(_xlfn.XLOOKUP(C774,Customers!$A$2:$A$1001,Customers!$C$2:$C$1001)=0,"",_xlfn.XLOOKUP(C774,Customers!$A$2:$A$1001,Customers!$C$2:$C$1001))</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_xlfn.XLOOKUP(Orders[[#This Row],[Customer ID]],Customers!$A$2:$A$1001,Customers!$I$2:$I$1001,0)</f>
        <v>No</v>
      </c>
    </row>
    <row r="775" spans="1:16" x14ac:dyDescent="0.3">
      <c r="A775" s="2" t="s">
        <v>4858</v>
      </c>
      <c r="B775" s="3">
        <v>44488</v>
      </c>
      <c r="C775" s="2" t="s">
        <v>4859</v>
      </c>
      <c r="D775" t="s">
        <v>6159</v>
      </c>
      <c r="E775" s="2">
        <v>2</v>
      </c>
      <c r="F775" s="2" t="str">
        <f>_xlfn.XLOOKUP(C775,Customers!$A$2:$A$1001,Customers!$B$2:$B$1001,0)</f>
        <v>Alva Filipczak</v>
      </c>
      <c r="G775" s="2" t="str">
        <f>IF(_xlfn.XLOOKUP(C775,Customers!$A$2:$A$1001,Customers!$C$2:$C$1001)=0,"",_xlfn.XLOOKUP(C775,Customers!$A$2:$A$1001,Customers!$C$2:$C$1001))</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_xlfn.XLOOKUP(Orders[[#This Row],[Customer ID]],Customers!$A$2:$A$1001,Customers!$I$2:$I$1001,0)</f>
        <v>No</v>
      </c>
    </row>
    <row r="776" spans="1:16" x14ac:dyDescent="0.3">
      <c r="A776" s="2" t="s">
        <v>4864</v>
      </c>
      <c r="B776" s="3">
        <v>44756</v>
      </c>
      <c r="C776" s="2" t="s">
        <v>4865</v>
      </c>
      <c r="D776" t="s">
        <v>6138</v>
      </c>
      <c r="E776" s="2">
        <v>2</v>
      </c>
      <c r="F776" s="2" t="str">
        <f>_xlfn.XLOOKUP(C776,Customers!$A$2:$A$1001,Customers!$B$2:$B$1001,0)</f>
        <v>Dorette Hinemoor</v>
      </c>
      <c r="G776" s="2" t="str">
        <f>IF(_xlfn.XLOOKUP(C776,Customers!$A$2:$A$1001,Customers!$C$2:$C$1001)=0,"",_xlfn.XLOOKUP(C776,Customers!$A$2:$A$1001,Customers!$C$2:$C$1001))</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_xlfn.XLOOKUP(Orders[[#This Row],[Customer ID]],Customers!$A$2:$A$1001,Customers!$I$2:$I$1001,0)</f>
        <v>Yes</v>
      </c>
    </row>
    <row r="777" spans="1:16" x14ac:dyDescent="0.3">
      <c r="A777" s="2" t="s">
        <v>4869</v>
      </c>
      <c r="B777" s="3">
        <v>44396</v>
      </c>
      <c r="C777" s="2" t="s">
        <v>4870</v>
      </c>
      <c r="D777" t="s">
        <v>6176</v>
      </c>
      <c r="E777" s="2">
        <v>2</v>
      </c>
      <c r="F777" s="2" t="str">
        <f>_xlfn.XLOOKUP(C777,Customers!$A$2:$A$1001,Customers!$B$2:$B$1001,0)</f>
        <v>Rhetta Elnaugh</v>
      </c>
      <c r="G777" s="2" t="str">
        <f>IF(_xlfn.XLOOKUP(C777,Customers!$A$2:$A$1001,Customers!$C$2:$C$1001)=0,"",_xlfn.XLOOKUP(C777,Customers!$A$2:$A$1001,Customers!$C$2:$C$1001))</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_xlfn.XLOOKUP(Orders[[#This Row],[Customer ID]],Customers!$A$2:$A$1001,Customers!$I$2:$I$1001,0)</f>
        <v>Yes</v>
      </c>
    </row>
    <row r="778" spans="1:16" x14ac:dyDescent="0.3">
      <c r="A778" s="2" t="s">
        <v>4875</v>
      </c>
      <c r="B778" s="3">
        <v>44540</v>
      </c>
      <c r="C778" s="2" t="s">
        <v>4876</v>
      </c>
      <c r="D778" t="s">
        <v>6157</v>
      </c>
      <c r="E778" s="2">
        <v>3</v>
      </c>
      <c r="F778" s="2" t="str">
        <f>_xlfn.XLOOKUP(C778,Customers!$A$2:$A$1001,Customers!$B$2:$B$1001,0)</f>
        <v>Jule Deehan</v>
      </c>
      <c r="G778" s="2" t="str">
        <f>IF(_xlfn.XLOOKUP(C778,Customers!$A$2:$A$1001,Customers!$C$2:$C$1001)=0,"",_xlfn.XLOOKUP(C778,Customers!$A$2:$A$1001,Customers!$C$2:$C$1001))</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_xlfn.XLOOKUP(Orders[[#This Row],[Customer ID]],Customers!$A$2:$A$1001,Customers!$I$2:$I$1001,0)</f>
        <v>No</v>
      </c>
    </row>
    <row r="779" spans="1:16" x14ac:dyDescent="0.3">
      <c r="A779" s="2" t="s">
        <v>4881</v>
      </c>
      <c r="B779" s="3">
        <v>43541</v>
      </c>
      <c r="C779" s="2" t="s">
        <v>4882</v>
      </c>
      <c r="D779" t="s">
        <v>6182</v>
      </c>
      <c r="E779" s="2">
        <v>2</v>
      </c>
      <c r="F779" s="2" t="str">
        <f>_xlfn.XLOOKUP(C779,Customers!$A$2:$A$1001,Customers!$B$2:$B$1001,0)</f>
        <v>Janella Eden</v>
      </c>
      <c r="G779" s="2" t="str">
        <f>IF(_xlfn.XLOOKUP(C779,Customers!$A$2:$A$1001,Customers!$C$2:$C$1001)=0,"",_xlfn.XLOOKUP(C779,Customers!$A$2:$A$1001,Customers!$C$2:$C$1001))</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_xlfn.XLOOKUP(Orders[[#This Row],[Customer ID]],Customers!$A$2:$A$1001,Customers!$I$2:$I$1001,0)</f>
        <v>No</v>
      </c>
    </row>
    <row r="780" spans="1:16" x14ac:dyDescent="0.3">
      <c r="A780" s="2" t="s">
        <v>4886</v>
      </c>
      <c r="B780" s="3">
        <v>43889</v>
      </c>
      <c r="C780" s="2" t="s">
        <v>4933</v>
      </c>
      <c r="D780" t="s">
        <v>6161</v>
      </c>
      <c r="E780" s="2">
        <v>2</v>
      </c>
      <c r="F780" s="2" t="str">
        <f>_xlfn.XLOOKUP(C780,Customers!$A$2:$A$1001,Customers!$B$2:$B$1001,0)</f>
        <v>Cam Jewster</v>
      </c>
      <c r="G780" s="2" t="str">
        <f>IF(_xlfn.XLOOKUP(C780,Customers!$A$2:$A$1001,Customers!$C$2:$C$1001)=0,"",_xlfn.XLOOKUP(C780,Customers!$A$2:$A$1001,Customers!$C$2:$C$1001))</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_xlfn.XLOOKUP(Orders[[#This Row],[Customer ID]],Customers!$A$2:$A$1001,Customers!$I$2:$I$1001,0)</f>
        <v>Yes</v>
      </c>
    </row>
    <row r="781" spans="1:16" x14ac:dyDescent="0.3">
      <c r="A781" s="2" t="s">
        <v>4892</v>
      </c>
      <c r="B781" s="3">
        <v>43985</v>
      </c>
      <c r="C781" s="2" t="s">
        <v>4893</v>
      </c>
      <c r="D781" t="s">
        <v>6143</v>
      </c>
      <c r="E781" s="2">
        <v>6</v>
      </c>
      <c r="F781" s="2" t="str">
        <f>_xlfn.XLOOKUP(C781,Customers!$A$2:$A$1001,Customers!$B$2:$B$1001,0)</f>
        <v>Ugo Southerden</v>
      </c>
      <c r="G781" s="2" t="str">
        <f>IF(_xlfn.XLOOKUP(C781,Customers!$A$2:$A$1001,Customers!$C$2:$C$1001)=0,"",_xlfn.XLOOKUP(C781,Customers!$A$2:$A$1001,Customers!$C$2:$C$1001))</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_xlfn.XLOOKUP(Orders[[#This Row],[Customer ID]],Customers!$A$2:$A$1001,Customers!$I$2:$I$1001,0)</f>
        <v>Yes</v>
      </c>
    </row>
    <row r="782" spans="1:16" x14ac:dyDescent="0.3">
      <c r="A782" s="2" t="s">
        <v>4898</v>
      </c>
      <c r="B782" s="3">
        <v>43883</v>
      </c>
      <c r="C782" s="2" t="s">
        <v>4899</v>
      </c>
      <c r="D782" t="s">
        <v>6141</v>
      </c>
      <c r="E782" s="2">
        <v>3</v>
      </c>
      <c r="F782" s="2" t="str">
        <f>_xlfn.XLOOKUP(C782,Customers!$A$2:$A$1001,Customers!$B$2:$B$1001,0)</f>
        <v>Verne Dunkerley</v>
      </c>
      <c r="G782" s="2" t="str">
        <f>IF(_xlfn.XLOOKUP(C782,Customers!$A$2:$A$1001,Customers!$C$2:$C$1001)=0,"",_xlfn.XLOOKUP(C782,Customers!$A$2:$A$1001,Customers!$C$2:$C$1001))</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_xlfn.XLOOKUP(Orders[[#This Row],[Customer ID]],Customers!$A$2:$A$1001,Customers!$I$2:$I$1001,0)</f>
        <v>No</v>
      </c>
    </row>
    <row r="783" spans="1:16" x14ac:dyDescent="0.3">
      <c r="A783" s="2" t="s">
        <v>4903</v>
      </c>
      <c r="B783" s="3">
        <v>43778</v>
      </c>
      <c r="C783" s="2" t="s">
        <v>4904</v>
      </c>
      <c r="D783" t="s">
        <v>6164</v>
      </c>
      <c r="E783" s="2">
        <v>4</v>
      </c>
      <c r="F783" s="2" t="str">
        <f>_xlfn.XLOOKUP(C783,Customers!$A$2:$A$1001,Customers!$B$2:$B$1001,0)</f>
        <v>Lacee Burtenshaw</v>
      </c>
      <c r="G783" s="2" t="str">
        <f>IF(_xlfn.XLOOKUP(C783,Customers!$A$2:$A$1001,Customers!$C$2:$C$1001)=0,"",_xlfn.XLOOKUP(C783,Customers!$A$2:$A$1001,Customers!$C$2:$C$1001))</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_xlfn.XLOOKUP(Orders[[#This Row],[Customer ID]],Customers!$A$2:$A$1001,Customers!$I$2:$I$1001,0)</f>
        <v>No</v>
      </c>
    </row>
    <row r="784" spans="1:16" x14ac:dyDescent="0.3">
      <c r="A784" s="2" t="s">
        <v>4909</v>
      </c>
      <c r="B784" s="3">
        <v>43897</v>
      </c>
      <c r="C784" s="2" t="s">
        <v>4910</v>
      </c>
      <c r="D784" t="s">
        <v>6184</v>
      </c>
      <c r="E784" s="2">
        <v>6</v>
      </c>
      <c r="F784" s="2" t="str">
        <f>_xlfn.XLOOKUP(C784,Customers!$A$2:$A$1001,Customers!$B$2:$B$1001,0)</f>
        <v>Adorne Gregoratti</v>
      </c>
      <c r="G784" s="2" t="str">
        <f>IF(_xlfn.XLOOKUP(C784,Customers!$A$2:$A$1001,Customers!$C$2:$C$1001)=0,"",_xlfn.XLOOKUP(C784,Customers!$A$2:$A$1001,Customers!$C$2:$C$1001))</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_xlfn.XLOOKUP(Orders[[#This Row],[Customer ID]],Customers!$A$2:$A$1001,Customers!$I$2:$I$1001,0)</f>
        <v>No</v>
      </c>
    </row>
    <row r="785" spans="1:16" x14ac:dyDescent="0.3">
      <c r="A785" s="2" t="s">
        <v>4915</v>
      </c>
      <c r="B785" s="3">
        <v>44312</v>
      </c>
      <c r="C785" s="2" t="s">
        <v>4916</v>
      </c>
      <c r="D785" t="s">
        <v>6160</v>
      </c>
      <c r="E785" s="2">
        <v>5</v>
      </c>
      <c r="F785" s="2" t="str">
        <f>_xlfn.XLOOKUP(C785,Customers!$A$2:$A$1001,Customers!$B$2:$B$1001,0)</f>
        <v>Chris Croster</v>
      </c>
      <c r="G785" s="2" t="str">
        <f>IF(_xlfn.XLOOKUP(C785,Customers!$A$2:$A$1001,Customers!$C$2:$C$1001)=0,"",_xlfn.XLOOKUP(C785,Customers!$A$2:$A$1001,Customers!$C$2:$C$1001))</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_xlfn.XLOOKUP(Orders[[#This Row],[Customer ID]],Customers!$A$2:$A$1001,Customers!$I$2:$I$1001,0)</f>
        <v>Yes</v>
      </c>
    </row>
    <row r="786" spans="1:16" x14ac:dyDescent="0.3">
      <c r="A786" s="2" t="s">
        <v>4921</v>
      </c>
      <c r="B786" s="3">
        <v>44511</v>
      </c>
      <c r="C786" s="2" t="s">
        <v>4922</v>
      </c>
      <c r="D786" t="s">
        <v>6170</v>
      </c>
      <c r="E786" s="2">
        <v>2</v>
      </c>
      <c r="F786" s="2" t="str">
        <f>_xlfn.XLOOKUP(C786,Customers!$A$2:$A$1001,Customers!$B$2:$B$1001,0)</f>
        <v>Graeme Whitehead</v>
      </c>
      <c r="G786" s="2" t="str">
        <f>IF(_xlfn.XLOOKUP(C786,Customers!$A$2:$A$1001,Customers!$C$2:$C$1001)=0,"",_xlfn.XLOOKUP(C786,Customers!$A$2:$A$1001,Customers!$C$2:$C$1001))</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_xlfn.XLOOKUP(Orders[[#This Row],[Customer ID]],Customers!$A$2:$A$1001,Customers!$I$2:$I$1001,0)</f>
        <v>No</v>
      </c>
    </row>
    <row r="787" spans="1:16" x14ac:dyDescent="0.3">
      <c r="A787" s="2" t="s">
        <v>4926</v>
      </c>
      <c r="B787" s="3">
        <v>44362</v>
      </c>
      <c r="C787" s="2" t="s">
        <v>4927</v>
      </c>
      <c r="D787" t="s">
        <v>6168</v>
      </c>
      <c r="E787" s="2">
        <v>1</v>
      </c>
      <c r="F787" s="2" t="str">
        <f>_xlfn.XLOOKUP(C787,Customers!$A$2:$A$1001,Customers!$B$2:$B$1001,0)</f>
        <v>Haslett Jodrelle</v>
      </c>
      <c r="G787" s="2" t="str">
        <f>IF(_xlfn.XLOOKUP(C787,Customers!$A$2:$A$1001,Customers!$C$2:$C$1001)=0,"",_xlfn.XLOOKUP(C787,Customers!$A$2:$A$1001,Customers!$C$2:$C$1001))</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_xlfn.XLOOKUP(Orders[[#This Row],[Customer ID]],Customers!$A$2:$A$1001,Customers!$I$2:$I$1001,0)</f>
        <v>No</v>
      </c>
    </row>
    <row r="788" spans="1:16" x14ac:dyDescent="0.3">
      <c r="A788" s="2" t="s">
        <v>4932</v>
      </c>
      <c r="B788" s="3">
        <v>43888</v>
      </c>
      <c r="C788" s="2" t="s">
        <v>4933</v>
      </c>
      <c r="D788" t="s">
        <v>6185</v>
      </c>
      <c r="E788" s="2">
        <v>1</v>
      </c>
      <c r="F788" s="2" t="str">
        <f>_xlfn.XLOOKUP(C788,Customers!$A$2:$A$1001,Customers!$B$2:$B$1001,0)</f>
        <v>Cam Jewster</v>
      </c>
      <c r="G788" s="2" t="str">
        <f>IF(_xlfn.XLOOKUP(C788,Customers!$A$2:$A$1001,Customers!$C$2:$C$1001)=0,"",_xlfn.XLOOKUP(C788,Customers!$A$2:$A$1001,Customers!$C$2:$C$1001))</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_xlfn.XLOOKUP(Orders[[#This Row],[Customer ID]],Customers!$A$2:$A$1001,Customers!$I$2:$I$1001,0)</f>
        <v>Yes</v>
      </c>
    </row>
    <row r="789" spans="1:16" x14ac:dyDescent="0.3">
      <c r="A789" s="2" t="s">
        <v>4938</v>
      </c>
      <c r="B789" s="3">
        <v>44305</v>
      </c>
      <c r="C789" s="2" t="s">
        <v>4939</v>
      </c>
      <c r="D789" t="s">
        <v>6141</v>
      </c>
      <c r="E789" s="2">
        <v>6</v>
      </c>
      <c r="F789" s="2" t="str">
        <f>_xlfn.XLOOKUP(C789,Customers!$A$2:$A$1001,Customers!$B$2:$B$1001,0)</f>
        <v>Beryl Osborn</v>
      </c>
      <c r="G789" s="2" t="str">
        <f>IF(_xlfn.XLOOKUP(C789,Customers!$A$2:$A$1001,Customers!$C$2:$C$1001)=0,"",_xlfn.XLOOKUP(C789,Customers!$A$2:$A$1001,Customers!$C$2:$C$1001))</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_xlfn.XLOOKUP(Orders[[#This Row],[Customer ID]],Customers!$A$2:$A$1001,Customers!$I$2:$I$1001,0)</f>
        <v>Yes</v>
      </c>
    </row>
    <row r="790" spans="1:16" x14ac:dyDescent="0.3">
      <c r="A790" s="2" t="s">
        <v>4943</v>
      </c>
      <c r="B790" s="3">
        <v>44771</v>
      </c>
      <c r="C790" s="2" t="s">
        <v>4944</v>
      </c>
      <c r="D790" t="s">
        <v>6151</v>
      </c>
      <c r="E790" s="2">
        <v>2</v>
      </c>
      <c r="F790" s="2" t="str">
        <f>_xlfn.XLOOKUP(C790,Customers!$A$2:$A$1001,Customers!$B$2:$B$1001,0)</f>
        <v>Kaela Nottram</v>
      </c>
      <c r="G790" s="2" t="str">
        <f>IF(_xlfn.XLOOKUP(C790,Customers!$A$2:$A$1001,Customers!$C$2:$C$1001)=0,"",_xlfn.XLOOKUP(C790,Customers!$A$2:$A$1001,Customers!$C$2:$C$1001))</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_xlfn.XLOOKUP(Orders[[#This Row],[Customer ID]],Customers!$A$2:$A$1001,Customers!$I$2:$I$1001,0)</f>
        <v>Yes</v>
      </c>
    </row>
    <row r="791" spans="1:16" x14ac:dyDescent="0.3">
      <c r="A791" s="2" t="s">
        <v>4949</v>
      </c>
      <c r="B791" s="3">
        <v>43485</v>
      </c>
      <c r="C791" s="2" t="s">
        <v>4950</v>
      </c>
      <c r="D791" t="s">
        <v>6140</v>
      </c>
      <c r="E791" s="2">
        <v>6</v>
      </c>
      <c r="F791" s="2" t="str">
        <f>_xlfn.XLOOKUP(C791,Customers!$A$2:$A$1001,Customers!$B$2:$B$1001,0)</f>
        <v>Nobe Buney</v>
      </c>
      <c r="G791" s="2" t="str">
        <f>IF(_xlfn.XLOOKUP(C791,Customers!$A$2:$A$1001,Customers!$C$2:$C$1001)=0,"",_xlfn.XLOOKUP(C791,Customers!$A$2:$A$1001,Customers!$C$2:$C$1001))</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_xlfn.XLOOKUP(Orders[[#This Row],[Customer ID]],Customers!$A$2:$A$1001,Customers!$I$2:$I$1001,0)</f>
        <v>No</v>
      </c>
    </row>
    <row r="792" spans="1:16" x14ac:dyDescent="0.3">
      <c r="A792" s="2" t="s">
        <v>4955</v>
      </c>
      <c r="B792" s="3">
        <v>44613</v>
      </c>
      <c r="C792" s="2" t="s">
        <v>4956</v>
      </c>
      <c r="D792" t="s">
        <v>6180</v>
      </c>
      <c r="E792" s="2">
        <v>3</v>
      </c>
      <c r="F792" s="2" t="str">
        <f>_xlfn.XLOOKUP(C792,Customers!$A$2:$A$1001,Customers!$B$2:$B$1001,0)</f>
        <v>Silvan McShea</v>
      </c>
      <c r="G792" s="2" t="str">
        <f>IF(_xlfn.XLOOKUP(C792,Customers!$A$2:$A$1001,Customers!$C$2:$C$1001)=0,"",_xlfn.XLOOKUP(C792,Customers!$A$2:$A$1001,Customers!$C$2:$C$1001))</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_xlfn.XLOOKUP(Orders[[#This Row],[Customer ID]],Customers!$A$2:$A$1001,Customers!$I$2:$I$1001,0)</f>
        <v>No</v>
      </c>
    </row>
    <row r="793" spans="1:16" x14ac:dyDescent="0.3">
      <c r="A793" s="2" t="s">
        <v>4961</v>
      </c>
      <c r="B793" s="3">
        <v>43954</v>
      </c>
      <c r="C793" s="2" t="s">
        <v>4962</v>
      </c>
      <c r="D793" t="s">
        <v>6145</v>
      </c>
      <c r="E793" s="2">
        <v>5</v>
      </c>
      <c r="F793" s="2" t="str">
        <f>_xlfn.XLOOKUP(C793,Customers!$A$2:$A$1001,Customers!$B$2:$B$1001,0)</f>
        <v>Karylin Huddart</v>
      </c>
      <c r="G793" s="2" t="str">
        <f>IF(_xlfn.XLOOKUP(C793,Customers!$A$2:$A$1001,Customers!$C$2:$C$1001)=0,"",_xlfn.XLOOKUP(C793,Customers!$A$2:$A$1001,Customers!$C$2:$C$1001))</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_xlfn.XLOOKUP(Orders[[#This Row],[Customer ID]],Customers!$A$2:$A$1001,Customers!$I$2:$I$1001,0)</f>
        <v>Yes</v>
      </c>
    </row>
    <row r="794" spans="1:16" x14ac:dyDescent="0.3">
      <c r="A794" s="2" t="s">
        <v>4967</v>
      </c>
      <c r="B794" s="3">
        <v>43545</v>
      </c>
      <c r="C794" s="2" t="s">
        <v>4968</v>
      </c>
      <c r="D794" t="s">
        <v>6160</v>
      </c>
      <c r="E794" s="2">
        <v>6</v>
      </c>
      <c r="F794" s="2" t="str">
        <f>_xlfn.XLOOKUP(C794,Customers!$A$2:$A$1001,Customers!$B$2:$B$1001,0)</f>
        <v>Jereme Gippes</v>
      </c>
      <c r="G794" s="2" t="str">
        <f>IF(_xlfn.XLOOKUP(C794,Customers!$A$2:$A$1001,Customers!$C$2:$C$1001)=0,"",_xlfn.XLOOKUP(C794,Customers!$A$2:$A$1001,Customers!$C$2:$C$1001))</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_xlfn.XLOOKUP(Orders[[#This Row],[Customer ID]],Customers!$A$2:$A$1001,Customers!$I$2:$I$1001,0)</f>
        <v>Yes</v>
      </c>
    </row>
    <row r="795" spans="1:16" x14ac:dyDescent="0.3">
      <c r="A795" s="2" t="s">
        <v>4973</v>
      </c>
      <c r="B795" s="3">
        <v>43629</v>
      </c>
      <c r="C795" s="2" t="s">
        <v>4974</v>
      </c>
      <c r="D795" t="s">
        <v>6178</v>
      </c>
      <c r="E795" s="2">
        <v>5</v>
      </c>
      <c r="F795" s="2" t="str">
        <f>_xlfn.XLOOKUP(C795,Customers!$A$2:$A$1001,Customers!$B$2:$B$1001,0)</f>
        <v>Lukas Whittlesee</v>
      </c>
      <c r="G795" s="2" t="str">
        <f>IF(_xlfn.XLOOKUP(C795,Customers!$A$2:$A$1001,Customers!$C$2:$C$1001)=0,"",_xlfn.XLOOKUP(C795,Customers!$A$2:$A$1001,Customers!$C$2:$C$1001))</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_xlfn.XLOOKUP(Orders[[#This Row],[Customer ID]],Customers!$A$2:$A$1001,Customers!$I$2:$I$1001,0)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IF(_xlfn.XLOOKUP(C796,Customers!$A$2:$A$1001,Customers!$C$2:$C$1001)=0,"",_xlfn.XLOOKUP(C796,Customers!$A$2:$A$1001,Customers!$C$2:$C$1001))</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_xlfn.XLOOKUP(Orders[[#This Row],[Customer ID]],Customers!$A$2:$A$1001,Customers!$I$2:$I$1001,0)</f>
        <v>No</v>
      </c>
    </row>
    <row r="797" spans="1:16" x14ac:dyDescent="0.3">
      <c r="A797" s="2" t="s">
        <v>4985</v>
      </c>
      <c r="B797" s="3">
        <v>43540</v>
      </c>
      <c r="C797" s="2" t="s">
        <v>4986</v>
      </c>
      <c r="D797" t="s">
        <v>6173</v>
      </c>
      <c r="E797" s="2">
        <v>4</v>
      </c>
      <c r="F797" s="2" t="str">
        <f>_xlfn.XLOOKUP(C797,Customers!$A$2:$A$1001,Customers!$B$2:$B$1001,0)</f>
        <v>Wright Caldero</v>
      </c>
      <c r="G797" s="2" t="str">
        <f>IF(_xlfn.XLOOKUP(C797,Customers!$A$2:$A$1001,Customers!$C$2:$C$1001)=0,"",_xlfn.XLOOKUP(C797,Customers!$A$2:$A$1001,Customers!$C$2:$C$1001))</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_xlfn.XLOOKUP(Orders[[#This Row],[Customer ID]],Customers!$A$2:$A$1001,Customers!$I$2:$I$1001,0)</f>
        <v>No</v>
      </c>
    </row>
    <row r="798" spans="1:16" x14ac:dyDescent="0.3">
      <c r="A798" s="2" t="s">
        <v>4991</v>
      </c>
      <c r="B798" s="3">
        <v>44533</v>
      </c>
      <c r="C798" s="2" t="s">
        <v>4992</v>
      </c>
      <c r="D798" t="s">
        <v>6161</v>
      </c>
      <c r="E798" s="2">
        <v>1</v>
      </c>
      <c r="F798" s="2" t="str">
        <f>_xlfn.XLOOKUP(C798,Customers!$A$2:$A$1001,Customers!$B$2:$B$1001,0)</f>
        <v>Merell Zanazzi</v>
      </c>
      <c r="G798" s="2" t="str">
        <f>IF(_xlfn.XLOOKUP(C798,Customers!$A$2:$A$1001,Customers!$C$2:$C$1001)=0,"",_xlfn.XLOOKUP(C798,Customers!$A$2:$A$1001,Customers!$C$2:$C$1001))</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_xlfn.XLOOKUP(Orders[[#This Row],[Customer ID]],Customers!$A$2:$A$1001,Customers!$I$2:$I$1001,0)</f>
        <v>No</v>
      </c>
    </row>
    <row r="799" spans="1:16" x14ac:dyDescent="0.3">
      <c r="A799" s="2" t="s">
        <v>4996</v>
      </c>
      <c r="B799" s="3">
        <v>44751</v>
      </c>
      <c r="C799" s="2" t="s">
        <v>4997</v>
      </c>
      <c r="D799" t="s">
        <v>6180</v>
      </c>
      <c r="E799" s="2">
        <v>4</v>
      </c>
      <c r="F799" s="2" t="str">
        <f>_xlfn.XLOOKUP(C799,Customers!$A$2:$A$1001,Customers!$B$2:$B$1001,0)</f>
        <v>Jed Kennicott</v>
      </c>
      <c r="G799" s="2" t="str">
        <f>IF(_xlfn.XLOOKUP(C799,Customers!$A$2:$A$1001,Customers!$C$2:$C$1001)=0,"",_xlfn.XLOOKUP(C799,Customers!$A$2:$A$1001,Customers!$C$2:$C$1001))</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_xlfn.XLOOKUP(Orders[[#This Row],[Customer ID]],Customers!$A$2:$A$1001,Customers!$I$2:$I$1001,0)</f>
        <v>No</v>
      </c>
    </row>
    <row r="800" spans="1:16" x14ac:dyDescent="0.3">
      <c r="A800" s="2" t="s">
        <v>5002</v>
      </c>
      <c r="B800" s="3">
        <v>43950</v>
      </c>
      <c r="C800" s="2" t="s">
        <v>5003</v>
      </c>
      <c r="D800" t="s">
        <v>6163</v>
      </c>
      <c r="E800" s="2">
        <v>3</v>
      </c>
      <c r="F800" s="2" t="str">
        <f>_xlfn.XLOOKUP(C800,Customers!$A$2:$A$1001,Customers!$B$2:$B$1001,0)</f>
        <v>Guenevere Ruggen</v>
      </c>
      <c r="G800" s="2" t="str">
        <f>IF(_xlfn.XLOOKUP(C800,Customers!$A$2:$A$1001,Customers!$C$2:$C$1001)=0,"",_xlfn.XLOOKUP(C800,Customers!$A$2:$A$1001,Customers!$C$2:$C$1001))</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_xlfn.XLOOKUP(Orders[[#This Row],[Customer ID]],Customers!$A$2:$A$1001,Customers!$I$2:$I$1001,0)</f>
        <v>Yes</v>
      </c>
    </row>
    <row r="801" spans="1:16" x14ac:dyDescent="0.3">
      <c r="A801" s="2" t="s">
        <v>5008</v>
      </c>
      <c r="B801" s="3">
        <v>44588</v>
      </c>
      <c r="C801" s="2" t="s">
        <v>5009</v>
      </c>
      <c r="D801" t="s">
        <v>6183</v>
      </c>
      <c r="E801" s="2">
        <v>3</v>
      </c>
      <c r="F801" s="2" t="str">
        <f>_xlfn.XLOOKUP(C801,Customers!$A$2:$A$1001,Customers!$B$2:$B$1001,0)</f>
        <v>Gonzales Cicculi</v>
      </c>
      <c r="G801" s="2" t="str">
        <f>IF(_xlfn.XLOOKUP(C801,Customers!$A$2:$A$1001,Customers!$C$2:$C$1001)=0,"",_xlfn.XLOOKUP(C801,Customers!$A$2:$A$1001,Customers!$C$2:$C$1001))</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_xlfn.XLOOKUP(Orders[[#This Row],[Customer ID]],Customers!$A$2:$A$1001,Customers!$I$2:$I$1001,0)</f>
        <v>Yes</v>
      </c>
    </row>
    <row r="802" spans="1:16" x14ac:dyDescent="0.3">
      <c r="A802" s="2" t="s">
        <v>5012</v>
      </c>
      <c r="B802" s="3">
        <v>44240</v>
      </c>
      <c r="C802" s="2" t="s">
        <v>5013</v>
      </c>
      <c r="D802" t="s">
        <v>6163</v>
      </c>
      <c r="E802" s="2">
        <v>6</v>
      </c>
      <c r="F802" s="2" t="str">
        <f>_xlfn.XLOOKUP(C802,Customers!$A$2:$A$1001,Customers!$B$2:$B$1001,0)</f>
        <v>Man Fright</v>
      </c>
      <c r="G802" s="2" t="str">
        <f>IF(_xlfn.XLOOKUP(C802,Customers!$A$2:$A$1001,Customers!$C$2:$C$1001)=0,"",_xlfn.XLOOKUP(C802,Customers!$A$2:$A$1001,Customers!$C$2:$C$1001))</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_xlfn.XLOOKUP(Orders[[#This Row],[Customer ID]],Customers!$A$2:$A$1001,Customers!$I$2:$I$1001,0)</f>
        <v>No</v>
      </c>
    </row>
    <row r="803" spans="1:16" x14ac:dyDescent="0.3">
      <c r="A803" s="2" t="s">
        <v>5018</v>
      </c>
      <c r="B803" s="3">
        <v>44025</v>
      </c>
      <c r="C803" s="2" t="s">
        <v>5019</v>
      </c>
      <c r="D803" t="s">
        <v>6149</v>
      </c>
      <c r="E803" s="2">
        <v>2</v>
      </c>
      <c r="F803" s="2" t="str">
        <f>_xlfn.XLOOKUP(C803,Customers!$A$2:$A$1001,Customers!$B$2:$B$1001,0)</f>
        <v>Boyce Tarte</v>
      </c>
      <c r="G803" s="2" t="str">
        <f>IF(_xlfn.XLOOKUP(C803,Customers!$A$2:$A$1001,Customers!$C$2:$C$1001)=0,"",_xlfn.XLOOKUP(C803,Customers!$A$2:$A$1001,Customers!$C$2:$C$1001))</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_xlfn.XLOOKUP(Orders[[#This Row],[Customer ID]],Customers!$A$2:$A$1001,Customers!$I$2:$I$1001,0)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IF(_xlfn.XLOOKUP(C804,Customers!$A$2:$A$1001,Customers!$C$2:$C$1001)=0,"",_xlfn.XLOOKUP(C804,Customers!$A$2:$A$1001,Customers!$C$2:$C$1001))</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_xlfn.XLOOKUP(Orders[[#This Row],[Customer ID]],Customers!$A$2:$A$1001,Customers!$I$2:$I$1001,0)</f>
        <v>No</v>
      </c>
    </row>
    <row r="805" spans="1:16" x14ac:dyDescent="0.3">
      <c r="A805" s="2" t="s">
        <v>5030</v>
      </c>
      <c r="B805" s="3">
        <v>43955</v>
      </c>
      <c r="C805" s="2" t="s">
        <v>5031</v>
      </c>
      <c r="D805" t="s">
        <v>6166</v>
      </c>
      <c r="E805" s="2">
        <v>4</v>
      </c>
      <c r="F805" s="2" t="str">
        <f>_xlfn.XLOOKUP(C805,Customers!$A$2:$A$1001,Customers!$B$2:$B$1001,0)</f>
        <v>Darn Penquet</v>
      </c>
      <c r="G805" s="2" t="str">
        <f>IF(_xlfn.XLOOKUP(C805,Customers!$A$2:$A$1001,Customers!$C$2:$C$1001)=0,"",_xlfn.XLOOKUP(C805,Customers!$A$2:$A$1001,Customers!$C$2:$C$1001))</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_xlfn.XLOOKUP(Orders[[#This Row],[Customer ID]],Customers!$A$2:$A$1001,Customers!$I$2:$I$1001,0)</f>
        <v>No</v>
      </c>
    </row>
    <row r="806" spans="1:16" x14ac:dyDescent="0.3">
      <c r="A806" s="2" t="s">
        <v>5035</v>
      </c>
      <c r="B806" s="3">
        <v>44289</v>
      </c>
      <c r="C806" s="2" t="s">
        <v>5036</v>
      </c>
      <c r="D806" t="s">
        <v>6179</v>
      </c>
      <c r="E806" s="2">
        <v>2</v>
      </c>
      <c r="F806" s="2" t="str">
        <f>_xlfn.XLOOKUP(C806,Customers!$A$2:$A$1001,Customers!$B$2:$B$1001,0)</f>
        <v>Jammie Cloke</v>
      </c>
      <c r="G806" s="2" t="str">
        <f>IF(_xlfn.XLOOKUP(C806,Customers!$A$2:$A$1001,Customers!$C$2:$C$1001)=0,"",_xlfn.XLOOKUP(C806,Customers!$A$2:$A$1001,Customers!$C$2:$C$1001))</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_xlfn.XLOOKUP(Orders[[#This Row],[Customer ID]],Customers!$A$2:$A$1001,Customers!$I$2:$I$1001,0)</f>
        <v>No</v>
      </c>
    </row>
    <row r="807" spans="1:16" x14ac:dyDescent="0.3">
      <c r="A807" s="2" t="s">
        <v>5040</v>
      </c>
      <c r="B807" s="3">
        <v>44713</v>
      </c>
      <c r="C807" s="2" t="s">
        <v>5041</v>
      </c>
      <c r="D807" t="s">
        <v>6146</v>
      </c>
      <c r="E807" s="2">
        <v>1</v>
      </c>
      <c r="F807" s="2" t="str">
        <f>_xlfn.XLOOKUP(C807,Customers!$A$2:$A$1001,Customers!$B$2:$B$1001,0)</f>
        <v>Chester Clowton</v>
      </c>
      <c r="G807" s="2" t="str">
        <f>IF(_xlfn.XLOOKUP(C807,Customers!$A$2:$A$1001,Customers!$C$2:$C$1001)=0,"",_xlfn.XLOOKUP(C807,Customers!$A$2:$A$1001,Customers!$C$2:$C$1001))</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_xlfn.XLOOKUP(Orders[[#This Row],[Customer ID]],Customers!$A$2:$A$1001,Customers!$I$2:$I$1001,0)</f>
        <v>No</v>
      </c>
    </row>
    <row r="808" spans="1:16" x14ac:dyDescent="0.3">
      <c r="A808" s="2" t="s">
        <v>5046</v>
      </c>
      <c r="B808" s="3">
        <v>44241</v>
      </c>
      <c r="C808" s="2" t="s">
        <v>5047</v>
      </c>
      <c r="D808" t="s">
        <v>6150</v>
      </c>
      <c r="E808" s="2">
        <v>2</v>
      </c>
      <c r="F808" s="2" t="str">
        <f>_xlfn.XLOOKUP(C808,Customers!$A$2:$A$1001,Customers!$B$2:$B$1001,0)</f>
        <v>Kathleen Diable</v>
      </c>
      <c r="G808" s="2" t="str">
        <f>IF(_xlfn.XLOOKUP(C808,Customers!$A$2:$A$1001,Customers!$C$2:$C$1001)=0,"",_xlfn.XLOOKUP(C808,Customers!$A$2:$A$1001,Customers!$C$2:$C$1001))</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_xlfn.XLOOKUP(Orders[[#This Row],[Customer ID]],Customers!$A$2:$A$1001,Customers!$I$2:$I$1001,0)</f>
        <v>Yes</v>
      </c>
    </row>
    <row r="809" spans="1:16" x14ac:dyDescent="0.3">
      <c r="A809" s="2" t="s">
        <v>5050</v>
      </c>
      <c r="B809" s="3">
        <v>44543</v>
      </c>
      <c r="C809" s="2" t="s">
        <v>5051</v>
      </c>
      <c r="D809" t="s">
        <v>6169</v>
      </c>
      <c r="E809" s="2">
        <v>3</v>
      </c>
      <c r="F809" s="2" t="str">
        <f>_xlfn.XLOOKUP(C809,Customers!$A$2:$A$1001,Customers!$B$2:$B$1001,0)</f>
        <v>Koren Ferretti</v>
      </c>
      <c r="G809" s="2" t="str">
        <f>IF(_xlfn.XLOOKUP(C809,Customers!$A$2:$A$1001,Customers!$C$2:$C$1001)=0,"",_xlfn.XLOOKUP(C809,Customers!$A$2:$A$1001,Customers!$C$2:$C$1001))</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_xlfn.XLOOKUP(Orders[[#This Row],[Customer ID]],Customers!$A$2:$A$1001,Customers!$I$2:$I$1001,0)</f>
        <v>No</v>
      </c>
    </row>
    <row r="810" spans="1:16" x14ac:dyDescent="0.3">
      <c r="A810" s="2" t="s">
        <v>5056</v>
      </c>
      <c r="B810" s="3">
        <v>43868</v>
      </c>
      <c r="C810" s="2" t="s">
        <v>5113</v>
      </c>
      <c r="D810" t="s">
        <v>6142</v>
      </c>
      <c r="E810" s="2">
        <v>5</v>
      </c>
      <c r="F810" s="2" t="str">
        <f>_xlfn.XLOOKUP(C810,Customers!$A$2:$A$1001,Customers!$B$2:$B$1001,0)</f>
        <v>Allis Wilmore</v>
      </c>
      <c r="G810" s="2" t="str">
        <f>IF(_xlfn.XLOOKUP(C810,Customers!$A$2:$A$1001,Customers!$C$2:$C$1001)=0,"",_xlfn.XLOOKUP(C810,Customers!$A$2:$A$1001,Customers!$C$2:$C$1001))</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_xlfn.XLOOKUP(Orders[[#This Row],[Customer ID]],Customers!$A$2:$A$1001,Customers!$I$2:$I$1001,0)</f>
        <v>No</v>
      </c>
    </row>
    <row r="811" spans="1:16" x14ac:dyDescent="0.3">
      <c r="A811" s="2" t="s">
        <v>5062</v>
      </c>
      <c r="B811" s="3">
        <v>44235</v>
      </c>
      <c r="C811" s="2" t="s">
        <v>5063</v>
      </c>
      <c r="D811" t="s">
        <v>6163</v>
      </c>
      <c r="E811" s="2">
        <v>3</v>
      </c>
      <c r="F811" s="2" t="str">
        <f>_xlfn.XLOOKUP(C811,Customers!$A$2:$A$1001,Customers!$B$2:$B$1001,0)</f>
        <v>Chaddie Bennie</v>
      </c>
      <c r="G811" s="2" t="str">
        <f>IF(_xlfn.XLOOKUP(C811,Customers!$A$2:$A$1001,Customers!$C$2:$C$1001)=0,"",_xlfn.XLOOKUP(C811,Customers!$A$2:$A$1001,Customers!$C$2:$C$1001))</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_xlfn.XLOOKUP(Orders[[#This Row],[Customer ID]],Customers!$A$2:$A$1001,Customers!$I$2:$I$1001,0)</f>
        <v>Yes</v>
      </c>
    </row>
    <row r="812" spans="1:16" x14ac:dyDescent="0.3">
      <c r="A812" s="2" t="s">
        <v>5067</v>
      </c>
      <c r="B812" s="3">
        <v>44054</v>
      </c>
      <c r="C812" s="2" t="s">
        <v>5068</v>
      </c>
      <c r="D812" t="s">
        <v>6161</v>
      </c>
      <c r="E812" s="2">
        <v>3</v>
      </c>
      <c r="F812" s="2" t="str">
        <f>_xlfn.XLOOKUP(C812,Customers!$A$2:$A$1001,Customers!$B$2:$B$1001,0)</f>
        <v>Alberta Balsdone</v>
      </c>
      <c r="G812" s="2" t="str">
        <f>IF(_xlfn.XLOOKUP(C812,Customers!$A$2:$A$1001,Customers!$C$2:$C$1001)=0,"",_xlfn.XLOOKUP(C812,Customers!$A$2:$A$1001,Customers!$C$2:$C$1001))</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_xlfn.XLOOKUP(Orders[[#This Row],[Customer ID]],Customers!$A$2:$A$1001,Customers!$I$2:$I$1001,0)</f>
        <v>No</v>
      </c>
    </row>
    <row r="813" spans="1:16" x14ac:dyDescent="0.3">
      <c r="A813" s="2" t="s">
        <v>5073</v>
      </c>
      <c r="B813" s="3">
        <v>44114</v>
      </c>
      <c r="C813" s="2" t="s">
        <v>5074</v>
      </c>
      <c r="D813" t="s">
        <v>6155</v>
      </c>
      <c r="E813" s="2">
        <v>6</v>
      </c>
      <c r="F813" s="2" t="str">
        <f>_xlfn.XLOOKUP(C813,Customers!$A$2:$A$1001,Customers!$B$2:$B$1001,0)</f>
        <v>Brice Romera</v>
      </c>
      <c r="G813" s="2" t="str">
        <f>IF(_xlfn.XLOOKUP(C813,Customers!$A$2:$A$1001,Customers!$C$2:$C$1001)=0,"",_xlfn.XLOOKUP(C813,Customers!$A$2:$A$1001,Customers!$C$2:$C$1001))</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_xlfn.XLOOKUP(Orders[[#This Row],[Customer ID]],Customers!$A$2:$A$1001,Customers!$I$2:$I$1001,0)</f>
        <v>Yes</v>
      </c>
    </row>
    <row r="814" spans="1:16" x14ac:dyDescent="0.3">
      <c r="A814" s="2" t="s">
        <v>5073</v>
      </c>
      <c r="B814" s="3">
        <v>44114</v>
      </c>
      <c r="C814" s="2" t="s">
        <v>5074</v>
      </c>
      <c r="D814" t="s">
        <v>6165</v>
      </c>
      <c r="E814" s="2">
        <v>6</v>
      </c>
      <c r="F814" s="2" t="str">
        <f>_xlfn.XLOOKUP(C814,Customers!$A$2:$A$1001,Customers!$B$2:$B$1001,0)</f>
        <v>Brice Romera</v>
      </c>
      <c r="G814" s="2" t="str">
        <f>IF(_xlfn.XLOOKUP(C814,Customers!$A$2:$A$1001,Customers!$C$2:$C$1001)=0,"",_xlfn.XLOOKUP(C814,Customers!$A$2:$A$1001,Customers!$C$2:$C$1001))</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_xlfn.XLOOKUP(Orders[[#This Row],[Customer ID]],Customers!$A$2:$A$1001,Customers!$I$2:$I$1001,0)</f>
        <v>Yes</v>
      </c>
    </row>
    <row r="815" spans="1:16" x14ac:dyDescent="0.3">
      <c r="A815" s="2" t="s">
        <v>5084</v>
      </c>
      <c r="B815" s="3">
        <v>44173</v>
      </c>
      <c r="C815" s="2" t="s">
        <v>5085</v>
      </c>
      <c r="D815" t="s">
        <v>6166</v>
      </c>
      <c r="E815" s="2">
        <v>1</v>
      </c>
      <c r="F815" s="2" t="str">
        <f>_xlfn.XLOOKUP(C815,Customers!$A$2:$A$1001,Customers!$B$2:$B$1001,0)</f>
        <v>Conchita Bryde</v>
      </c>
      <c r="G815" s="2" t="str">
        <f>IF(_xlfn.XLOOKUP(C815,Customers!$A$2:$A$1001,Customers!$C$2:$C$1001)=0,"",_xlfn.XLOOKUP(C815,Customers!$A$2:$A$1001,Customers!$C$2:$C$1001))</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_xlfn.XLOOKUP(Orders[[#This Row],[Customer ID]],Customers!$A$2:$A$1001,Customers!$I$2:$I$1001,0)</f>
        <v>Yes</v>
      </c>
    </row>
    <row r="816" spans="1:16" x14ac:dyDescent="0.3">
      <c r="A816" s="2" t="s">
        <v>5090</v>
      </c>
      <c r="B816" s="3">
        <v>43573</v>
      </c>
      <c r="C816" s="2" t="s">
        <v>5091</v>
      </c>
      <c r="D816" t="s">
        <v>6184</v>
      </c>
      <c r="E816" s="2">
        <v>2</v>
      </c>
      <c r="F816" s="2" t="str">
        <f>_xlfn.XLOOKUP(C816,Customers!$A$2:$A$1001,Customers!$B$2:$B$1001,0)</f>
        <v>Silvanus Enefer</v>
      </c>
      <c r="G816" s="2" t="str">
        <f>IF(_xlfn.XLOOKUP(C816,Customers!$A$2:$A$1001,Customers!$C$2:$C$1001)=0,"",_xlfn.XLOOKUP(C816,Customers!$A$2:$A$1001,Customers!$C$2:$C$1001))</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_xlfn.XLOOKUP(Orders[[#This Row],[Customer ID]],Customers!$A$2:$A$1001,Customers!$I$2:$I$1001,0)</f>
        <v>No</v>
      </c>
    </row>
    <row r="817" spans="1:16" x14ac:dyDescent="0.3">
      <c r="A817" s="2" t="s">
        <v>5096</v>
      </c>
      <c r="B817" s="3">
        <v>44200</v>
      </c>
      <c r="C817" s="2" t="s">
        <v>5097</v>
      </c>
      <c r="D817" t="s">
        <v>6146</v>
      </c>
      <c r="E817" s="2">
        <v>6</v>
      </c>
      <c r="F817" s="2" t="str">
        <f>_xlfn.XLOOKUP(C817,Customers!$A$2:$A$1001,Customers!$B$2:$B$1001,0)</f>
        <v>Lenci Haggerstone</v>
      </c>
      <c r="G817" s="2" t="str">
        <f>IF(_xlfn.XLOOKUP(C817,Customers!$A$2:$A$1001,Customers!$C$2:$C$1001)=0,"",_xlfn.XLOOKUP(C817,Customers!$A$2:$A$1001,Customers!$C$2:$C$1001))</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_xlfn.XLOOKUP(Orders[[#This Row],[Customer ID]],Customers!$A$2:$A$1001,Customers!$I$2:$I$1001,0)</f>
        <v>No</v>
      </c>
    </row>
    <row r="818" spans="1:16" x14ac:dyDescent="0.3">
      <c r="A818" s="2" t="s">
        <v>5102</v>
      </c>
      <c r="B818" s="3">
        <v>43534</v>
      </c>
      <c r="C818" s="2" t="s">
        <v>5103</v>
      </c>
      <c r="D818" t="s">
        <v>6161</v>
      </c>
      <c r="E818" s="2">
        <v>4</v>
      </c>
      <c r="F818" s="2" t="str">
        <f>_xlfn.XLOOKUP(C818,Customers!$A$2:$A$1001,Customers!$B$2:$B$1001,0)</f>
        <v>Marvin Gundry</v>
      </c>
      <c r="G818" s="2" t="str">
        <f>IF(_xlfn.XLOOKUP(C818,Customers!$A$2:$A$1001,Customers!$C$2:$C$1001)=0,"",_xlfn.XLOOKUP(C818,Customers!$A$2:$A$1001,Customers!$C$2:$C$1001))</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_xlfn.XLOOKUP(Orders[[#This Row],[Customer ID]],Customers!$A$2:$A$1001,Customers!$I$2:$I$1001,0)</f>
        <v>No</v>
      </c>
    </row>
    <row r="819" spans="1:16" x14ac:dyDescent="0.3">
      <c r="A819" s="2" t="s">
        <v>5107</v>
      </c>
      <c r="B819" s="3">
        <v>43798</v>
      </c>
      <c r="C819" s="2" t="s">
        <v>5108</v>
      </c>
      <c r="D819" t="s">
        <v>6169</v>
      </c>
      <c r="E819" s="2">
        <v>2</v>
      </c>
      <c r="F819" s="2" t="str">
        <f>_xlfn.XLOOKUP(C819,Customers!$A$2:$A$1001,Customers!$B$2:$B$1001,0)</f>
        <v>Bayard Wellan</v>
      </c>
      <c r="G819" s="2" t="str">
        <f>IF(_xlfn.XLOOKUP(C819,Customers!$A$2:$A$1001,Customers!$C$2:$C$1001)=0,"",_xlfn.XLOOKUP(C819,Customers!$A$2:$A$1001,Customers!$C$2:$C$1001))</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_xlfn.XLOOKUP(Orders[[#This Row],[Customer ID]],Customers!$A$2:$A$1001,Customers!$I$2:$I$1001,0)</f>
        <v>No</v>
      </c>
    </row>
    <row r="820" spans="1:16" x14ac:dyDescent="0.3">
      <c r="A820" s="2" t="s">
        <v>5112</v>
      </c>
      <c r="B820" s="3">
        <v>44761</v>
      </c>
      <c r="C820" s="2" t="s">
        <v>5113</v>
      </c>
      <c r="D820" t="s">
        <v>6170</v>
      </c>
      <c r="E820" s="2">
        <v>5</v>
      </c>
      <c r="F820" s="2" t="str">
        <f>_xlfn.XLOOKUP(C820,Customers!$A$2:$A$1001,Customers!$B$2:$B$1001,0)</f>
        <v>Allis Wilmore</v>
      </c>
      <c r="G820" s="2" t="str">
        <f>IF(_xlfn.XLOOKUP(C820,Customers!$A$2:$A$1001,Customers!$C$2:$C$1001)=0,"",_xlfn.XLOOKUP(C820,Customers!$A$2:$A$1001,Customers!$C$2:$C$1001))</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_xlfn.XLOOKUP(Orders[[#This Row],[Customer ID]],Customers!$A$2:$A$1001,Customers!$I$2:$I$1001,0)</f>
        <v>No</v>
      </c>
    </row>
    <row r="821" spans="1:16" x14ac:dyDescent="0.3">
      <c r="A821" s="2" t="s">
        <v>5117</v>
      </c>
      <c r="B821" s="3">
        <v>44008</v>
      </c>
      <c r="C821" s="2" t="s">
        <v>5118</v>
      </c>
      <c r="D821" t="s">
        <v>6145</v>
      </c>
      <c r="E821" s="2">
        <v>1</v>
      </c>
      <c r="F821" s="2" t="str">
        <f>_xlfn.XLOOKUP(C821,Customers!$A$2:$A$1001,Customers!$B$2:$B$1001,0)</f>
        <v>Caddric Atcheson</v>
      </c>
      <c r="G821" s="2" t="str">
        <f>IF(_xlfn.XLOOKUP(C821,Customers!$A$2:$A$1001,Customers!$C$2:$C$1001)=0,"",_xlfn.XLOOKUP(C821,Customers!$A$2:$A$1001,Customers!$C$2:$C$1001))</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_xlfn.XLOOKUP(Orders[[#This Row],[Customer ID]],Customers!$A$2:$A$1001,Customers!$I$2:$I$1001,0)</f>
        <v>Yes</v>
      </c>
    </row>
    <row r="822" spans="1:16" x14ac:dyDescent="0.3">
      <c r="A822" s="2" t="s">
        <v>5123</v>
      </c>
      <c r="B822" s="3">
        <v>43510</v>
      </c>
      <c r="C822" s="2" t="s">
        <v>5124</v>
      </c>
      <c r="D822" t="s">
        <v>6141</v>
      </c>
      <c r="E822" s="2">
        <v>4</v>
      </c>
      <c r="F822" s="2" t="str">
        <f>_xlfn.XLOOKUP(C822,Customers!$A$2:$A$1001,Customers!$B$2:$B$1001,0)</f>
        <v>Eustace Stenton</v>
      </c>
      <c r="G822" s="2" t="str">
        <f>IF(_xlfn.XLOOKUP(C822,Customers!$A$2:$A$1001,Customers!$C$2:$C$1001)=0,"",_xlfn.XLOOKUP(C822,Customers!$A$2:$A$1001,Customers!$C$2:$C$1001))</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_xlfn.XLOOKUP(Orders[[#This Row],[Customer ID]],Customers!$A$2:$A$1001,Customers!$I$2:$I$1001,0)</f>
        <v>Yes</v>
      </c>
    </row>
    <row r="823" spans="1:16" x14ac:dyDescent="0.3">
      <c r="A823" s="2" t="s">
        <v>5129</v>
      </c>
      <c r="B823" s="3">
        <v>44144</v>
      </c>
      <c r="C823" s="2" t="s">
        <v>5130</v>
      </c>
      <c r="D823" t="s">
        <v>6172</v>
      </c>
      <c r="E823" s="2">
        <v>5</v>
      </c>
      <c r="F823" s="2" t="str">
        <f>_xlfn.XLOOKUP(C823,Customers!$A$2:$A$1001,Customers!$B$2:$B$1001,0)</f>
        <v>Ericka Tripp</v>
      </c>
      <c r="G823" s="2" t="str">
        <f>IF(_xlfn.XLOOKUP(C823,Customers!$A$2:$A$1001,Customers!$C$2:$C$1001)=0,"",_xlfn.XLOOKUP(C823,Customers!$A$2:$A$1001,Customers!$C$2:$C$1001))</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_xlfn.XLOOKUP(Orders[[#This Row],[Customer ID]],Customers!$A$2:$A$1001,Customers!$I$2:$I$1001,0)</f>
        <v>No</v>
      </c>
    </row>
    <row r="824" spans="1:16" x14ac:dyDescent="0.3">
      <c r="A824" s="2" t="s">
        <v>5135</v>
      </c>
      <c r="B824" s="3">
        <v>43585</v>
      </c>
      <c r="C824" s="2" t="s">
        <v>5136</v>
      </c>
      <c r="D824" t="s">
        <v>6148</v>
      </c>
      <c r="E824" s="2">
        <v>4</v>
      </c>
      <c r="F824" s="2" t="str">
        <f>_xlfn.XLOOKUP(C824,Customers!$A$2:$A$1001,Customers!$B$2:$B$1001,0)</f>
        <v>Lyndsey MacManus</v>
      </c>
      <c r="G824" s="2" t="str">
        <f>IF(_xlfn.XLOOKUP(C824,Customers!$A$2:$A$1001,Customers!$C$2:$C$1001)=0,"",_xlfn.XLOOKUP(C824,Customers!$A$2:$A$1001,Customers!$C$2:$C$1001))</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_xlfn.XLOOKUP(Orders[[#This Row],[Customer ID]],Customers!$A$2:$A$1001,Customers!$I$2:$I$1001,0)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IF(_xlfn.XLOOKUP(C825,Customers!$A$2:$A$1001,Customers!$C$2:$C$1001)=0,"",_xlfn.XLOOKUP(C825,Customers!$A$2:$A$1001,Customers!$C$2:$C$1001))</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_xlfn.XLOOKUP(Orders[[#This Row],[Customer ID]],Customers!$A$2:$A$1001,Customers!$I$2:$I$1001,0)</f>
        <v>Yes</v>
      </c>
    </row>
    <row r="826" spans="1:16" x14ac:dyDescent="0.3">
      <c r="A826" s="2" t="s">
        <v>5147</v>
      </c>
      <c r="B826" s="3">
        <v>43781</v>
      </c>
      <c r="C826" s="2" t="s">
        <v>5148</v>
      </c>
      <c r="D826" t="s">
        <v>6152</v>
      </c>
      <c r="E826" s="2">
        <v>5</v>
      </c>
      <c r="F826" s="2" t="str">
        <f>_xlfn.XLOOKUP(C826,Customers!$A$2:$A$1001,Customers!$B$2:$B$1001,0)</f>
        <v>Correy Bourner</v>
      </c>
      <c r="G826" s="2" t="str">
        <f>IF(_xlfn.XLOOKUP(C826,Customers!$A$2:$A$1001,Customers!$C$2:$C$1001)=0,"",_xlfn.XLOOKUP(C826,Customers!$A$2:$A$1001,Customers!$C$2:$C$1001))</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_xlfn.XLOOKUP(Orders[[#This Row],[Customer ID]],Customers!$A$2:$A$1001,Customers!$I$2:$I$1001,0)</f>
        <v>Yes</v>
      </c>
    </row>
    <row r="827" spans="1:16" x14ac:dyDescent="0.3">
      <c r="A827" s="2" t="s">
        <v>5152</v>
      </c>
      <c r="B827" s="3">
        <v>44603</v>
      </c>
      <c r="C827" s="2" t="s">
        <v>5188</v>
      </c>
      <c r="D827" t="s">
        <v>6147</v>
      </c>
      <c r="E827" s="2">
        <v>3</v>
      </c>
      <c r="F827" s="2" t="str">
        <f>_xlfn.XLOOKUP(C827,Customers!$A$2:$A$1001,Customers!$B$2:$B$1001,0)</f>
        <v>Odelia Skerme</v>
      </c>
      <c r="G827" s="2" t="str">
        <f>IF(_xlfn.XLOOKUP(C827,Customers!$A$2:$A$1001,Customers!$C$2:$C$1001)=0,"",_xlfn.XLOOKUP(C827,Customers!$A$2:$A$1001,Customers!$C$2:$C$1001))</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_xlfn.XLOOKUP(Orders[[#This Row],[Customer ID]],Customers!$A$2:$A$1001,Customers!$I$2:$I$1001,0)</f>
        <v>Yes</v>
      </c>
    </row>
    <row r="828" spans="1:16" x14ac:dyDescent="0.3">
      <c r="A828" s="2" t="s">
        <v>5158</v>
      </c>
      <c r="B828" s="3">
        <v>44283</v>
      </c>
      <c r="C828" s="2" t="s">
        <v>5159</v>
      </c>
      <c r="D828" t="s">
        <v>6139</v>
      </c>
      <c r="E828" s="2">
        <v>5</v>
      </c>
      <c r="F828" s="2" t="str">
        <f>_xlfn.XLOOKUP(C828,Customers!$A$2:$A$1001,Customers!$B$2:$B$1001,0)</f>
        <v>Kandy Heddan</v>
      </c>
      <c r="G828" s="2" t="str">
        <f>IF(_xlfn.XLOOKUP(C828,Customers!$A$2:$A$1001,Customers!$C$2:$C$1001)=0,"",_xlfn.XLOOKUP(C828,Customers!$A$2:$A$1001,Customers!$C$2:$C$1001))</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_xlfn.XLOOKUP(Orders[[#This Row],[Customer ID]],Customers!$A$2:$A$1001,Customers!$I$2:$I$1001,0)</f>
        <v>Yes</v>
      </c>
    </row>
    <row r="829" spans="1:16" x14ac:dyDescent="0.3">
      <c r="A829" s="2" t="s">
        <v>5164</v>
      </c>
      <c r="B829" s="3">
        <v>44540</v>
      </c>
      <c r="C829" s="2" t="s">
        <v>5165</v>
      </c>
      <c r="D829" t="s">
        <v>6156</v>
      </c>
      <c r="E829" s="2">
        <v>5</v>
      </c>
      <c r="F829" s="2" t="str">
        <f>_xlfn.XLOOKUP(C829,Customers!$A$2:$A$1001,Customers!$B$2:$B$1001,0)</f>
        <v>Ibby Charters</v>
      </c>
      <c r="G829" s="2" t="str">
        <f>IF(_xlfn.XLOOKUP(C829,Customers!$A$2:$A$1001,Customers!$C$2:$C$1001)=0,"",_xlfn.XLOOKUP(C829,Customers!$A$2:$A$1001,Customers!$C$2:$C$1001))</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_xlfn.XLOOKUP(Orders[[#This Row],[Customer ID]],Customers!$A$2:$A$1001,Customers!$I$2:$I$1001,0)</f>
        <v>No</v>
      </c>
    </row>
    <row r="830" spans="1:16" x14ac:dyDescent="0.3">
      <c r="A830" s="2" t="s">
        <v>5170</v>
      </c>
      <c r="B830" s="3">
        <v>44505</v>
      </c>
      <c r="C830" s="2" t="s">
        <v>5171</v>
      </c>
      <c r="D830" t="s">
        <v>6168</v>
      </c>
      <c r="E830" s="2">
        <v>6</v>
      </c>
      <c r="F830" s="2" t="str">
        <f>_xlfn.XLOOKUP(C830,Customers!$A$2:$A$1001,Customers!$B$2:$B$1001,0)</f>
        <v>Adora Roubert</v>
      </c>
      <c r="G830" s="2" t="str">
        <f>IF(_xlfn.XLOOKUP(C830,Customers!$A$2:$A$1001,Customers!$C$2:$C$1001)=0,"",_xlfn.XLOOKUP(C830,Customers!$A$2:$A$1001,Customers!$C$2:$C$1001))</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_xlfn.XLOOKUP(Orders[[#This Row],[Customer ID]],Customers!$A$2:$A$1001,Customers!$I$2:$I$1001,0)</f>
        <v>Yes</v>
      </c>
    </row>
    <row r="831" spans="1:16" x14ac:dyDescent="0.3">
      <c r="A831" s="2" t="s">
        <v>5176</v>
      </c>
      <c r="B831" s="3">
        <v>43890</v>
      </c>
      <c r="C831" s="2" t="s">
        <v>5177</v>
      </c>
      <c r="D831" t="s">
        <v>6154</v>
      </c>
      <c r="E831" s="2">
        <v>1</v>
      </c>
      <c r="F831" s="2" t="str">
        <f>_xlfn.XLOOKUP(C831,Customers!$A$2:$A$1001,Customers!$B$2:$B$1001,0)</f>
        <v>Hillel Mairs</v>
      </c>
      <c r="G831" s="2" t="str">
        <f>IF(_xlfn.XLOOKUP(C831,Customers!$A$2:$A$1001,Customers!$C$2:$C$1001)=0,"",_xlfn.XLOOKUP(C831,Customers!$A$2:$A$1001,Customers!$C$2:$C$1001))</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_xlfn.XLOOKUP(Orders[[#This Row],[Customer ID]],Customers!$A$2:$A$1001,Customers!$I$2:$I$1001,0)</f>
        <v>No</v>
      </c>
    </row>
    <row r="832" spans="1:16" x14ac:dyDescent="0.3">
      <c r="A832" s="2" t="s">
        <v>5182</v>
      </c>
      <c r="B832" s="3">
        <v>44414</v>
      </c>
      <c r="C832" s="2" t="s">
        <v>5183</v>
      </c>
      <c r="D832" t="s">
        <v>6141</v>
      </c>
      <c r="E832" s="2">
        <v>2</v>
      </c>
      <c r="F832" s="2" t="str">
        <f>_xlfn.XLOOKUP(C832,Customers!$A$2:$A$1001,Customers!$B$2:$B$1001,0)</f>
        <v>Helaina Rainforth</v>
      </c>
      <c r="G832" s="2" t="str">
        <f>IF(_xlfn.XLOOKUP(C832,Customers!$A$2:$A$1001,Customers!$C$2:$C$1001)=0,"",_xlfn.XLOOKUP(C832,Customers!$A$2:$A$1001,Customers!$C$2:$C$1001))</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_xlfn.XLOOKUP(Orders[[#This Row],[Customer ID]],Customers!$A$2:$A$1001,Customers!$I$2:$I$1001,0)</f>
        <v>No</v>
      </c>
    </row>
    <row r="833" spans="1:16" x14ac:dyDescent="0.3">
      <c r="A833" s="2" t="s">
        <v>5182</v>
      </c>
      <c r="B833" s="3">
        <v>44414</v>
      </c>
      <c r="C833" s="2" t="s">
        <v>5183</v>
      </c>
      <c r="D833" t="s">
        <v>6154</v>
      </c>
      <c r="E833" s="2">
        <v>2</v>
      </c>
      <c r="F833" s="2" t="str">
        <f>_xlfn.XLOOKUP(C833,Customers!$A$2:$A$1001,Customers!$B$2:$B$1001,0)</f>
        <v>Helaina Rainforth</v>
      </c>
      <c r="G833" s="2" t="str">
        <f>IF(_xlfn.XLOOKUP(C833,Customers!$A$2:$A$1001,Customers!$C$2:$C$1001)=0,"",_xlfn.XLOOKUP(C833,Customers!$A$2:$A$1001,Customers!$C$2:$C$1001))</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_xlfn.XLOOKUP(Orders[[#This Row],[Customer ID]],Customers!$A$2:$A$1001,Customers!$I$2:$I$1001,0)</f>
        <v>No</v>
      </c>
    </row>
    <row r="834" spans="1:16" x14ac:dyDescent="0.3">
      <c r="A834" s="2" t="s">
        <v>5193</v>
      </c>
      <c r="B834" s="3">
        <v>44274</v>
      </c>
      <c r="C834" s="2" t="s">
        <v>5194</v>
      </c>
      <c r="D834" t="s">
        <v>6138</v>
      </c>
      <c r="E834" s="2">
        <v>6</v>
      </c>
      <c r="F834" s="2" t="str">
        <f>_xlfn.XLOOKUP(C834,Customers!$A$2:$A$1001,Customers!$B$2:$B$1001,0)</f>
        <v>Isac Jesper</v>
      </c>
      <c r="G834" s="2" t="str">
        <f>IF(_xlfn.XLOOKUP(C834,Customers!$A$2:$A$1001,Customers!$C$2:$C$1001)=0,"",_xlfn.XLOOKUP(C834,Customers!$A$2:$A$1001,Customers!$C$2:$C$1001))</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ref="M834:M897" si="39">L834*E834</f>
        <v>59.699999999999996</v>
      </c>
      <c r="N834" t="str">
        <f t="shared" ref="N834:N897" si="40">IF(I834="Rob","Robusta",IF(I834="Exc","Excelsa",IF(I834="Ara","Arabica",IF(I834="Lib","Liberica",""))))</f>
        <v>Robusta</v>
      </c>
      <c r="O834" t="str">
        <f t="shared" ref="O834:O897" si="41">IF(J834="M","Medium",IF(J834="L","Light",IF(J834="D","Dark","")))</f>
        <v>Medium</v>
      </c>
      <c r="P834" t="str">
        <f>_xlfn.XLOOKUP(Orders[[#This Row],[Customer ID]],Customers!$A$2:$A$1001,Customers!$I$2:$I$1001,0)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IF(_xlfn.XLOOKUP(C835,Customers!$A$2:$A$1001,Customers!$C$2:$C$1001)=0,"",_xlfn.XLOOKUP(C835,Customers!$A$2:$A$1001,Customers!$C$2:$C$1001))</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si="39"/>
        <v>82.339999999999989</v>
      </c>
      <c r="N835" t="str">
        <f t="shared" si="40"/>
        <v>Robusta</v>
      </c>
      <c r="O835" t="str">
        <f t="shared" si="41"/>
        <v>Dark</v>
      </c>
      <c r="P835" t="str">
        <f>_xlfn.XLOOKUP(Orders[[#This Row],[Customer ID]],Customers!$A$2:$A$1001,Customers!$I$2:$I$1001,0)</f>
        <v>Yes</v>
      </c>
    </row>
    <row r="836" spans="1:16" x14ac:dyDescent="0.3">
      <c r="A836" s="2" t="s">
        <v>5205</v>
      </c>
      <c r="B836" s="3">
        <v>44141</v>
      </c>
      <c r="C836" s="2" t="s">
        <v>5206</v>
      </c>
      <c r="D836" t="s">
        <v>6168</v>
      </c>
      <c r="E836" s="2">
        <v>1</v>
      </c>
      <c r="F836" s="2" t="str">
        <f>_xlfn.XLOOKUP(C836,Customers!$A$2:$A$1001,Customers!$B$2:$B$1001,0)</f>
        <v>Nadeen Broomer</v>
      </c>
      <c r="G836" s="2" t="str">
        <f>IF(_xlfn.XLOOKUP(C836,Customers!$A$2:$A$1001,Customers!$C$2:$C$1001)=0,"",_xlfn.XLOOKUP(C836,Customers!$A$2:$A$1001,Customers!$C$2:$C$1001))</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_xlfn.XLOOKUP(Orders[[#This Row],[Customer ID]],Customers!$A$2:$A$1001,Customers!$I$2:$I$1001,0)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IF(_xlfn.XLOOKUP(C837,Customers!$A$2:$A$1001,Customers!$C$2:$C$1001)=0,"",_xlfn.XLOOKUP(C837,Customers!$A$2:$A$1001,Customers!$C$2:$C$1001))</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_xlfn.XLOOKUP(Orders[[#This Row],[Customer ID]],Customers!$A$2:$A$1001,Customers!$I$2:$I$1001,0)</f>
        <v>Yes</v>
      </c>
    </row>
    <row r="838" spans="1:16" x14ac:dyDescent="0.3">
      <c r="A838" s="2" t="s">
        <v>5216</v>
      </c>
      <c r="B838" s="3">
        <v>44486</v>
      </c>
      <c r="C838" s="2" t="s">
        <v>5217</v>
      </c>
      <c r="D838" t="s">
        <v>6154</v>
      </c>
      <c r="E838" s="2">
        <v>4</v>
      </c>
      <c r="F838" s="2" t="str">
        <f>_xlfn.XLOOKUP(C838,Customers!$A$2:$A$1001,Customers!$B$2:$B$1001,0)</f>
        <v>Frans Habbergham</v>
      </c>
      <c r="G838" s="2" t="str">
        <f>IF(_xlfn.XLOOKUP(C838,Customers!$A$2:$A$1001,Customers!$C$2:$C$1001)=0,"",_xlfn.XLOOKUP(C838,Customers!$A$2:$A$1001,Customers!$C$2:$C$1001))</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_xlfn.XLOOKUP(Orders[[#This Row],[Customer ID]],Customers!$A$2:$A$1001,Customers!$I$2:$I$1001,0)</f>
        <v>No</v>
      </c>
    </row>
    <row r="839" spans="1:16" x14ac:dyDescent="0.3">
      <c r="A839" s="2" t="s">
        <v>5222</v>
      </c>
      <c r="B839" s="3">
        <v>43715</v>
      </c>
      <c r="C839" s="2" t="s">
        <v>5113</v>
      </c>
      <c r="D839" t="s">
        <v>6181</v>
      </c>
      <c r="E839" s="2">
        <v>3</v>
      </c>
      <c r="F839" s="2" t="str">
        <f>_xlfn.XLOOKUP(C839,Customers!$A$2:$A$1001,Customers!$B$2:$B$1001,0)</f>
        <v>Allis Wilmore</v>
      </c>
      <c r="G839" s="2" t="str">
        <f>IF(_xlfn.XLOOKUP(C839,Customers!$A$2:$A$1001,Customers!$C$2:$C$1001)=0,"",_xlfn.XLOOKUP(C839,Customers!$A$2:$A$1001,Customers!$C$2:$C$1001))</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_xlfn.XLOOKUP(Orders[[#This Row],[Customer ID]],Customers!$A$2:$A$1001,Customers!$I$2:$I$1001,0)</f>
        <v>No</v>
      </c>
    </row>
    <row r="840" spans="1:16" x14ac:dyDescent="0.3">
      <c r="A840" s="2" t="s">
        <v>5228</v>
      </c>
      <c r="B840" s="3">
        <v>44755</v>
      </c>
      <c r="C840" s="2" t="s">
        <v>5229</v>
      </c>
      <c r="D840" t="s">
        <v>6168</v>
      </c>
      <c r="E840" s="2">
        <v>5</v>
      </c>
      <c r="F840" s="2" t="str">
        <f>_xlfn.XLOOKUP(C840,Customers!$A$2:$A$1001,Customers!$B$2:$B$1001,0)</f>
        <v>Romain Avrashin</v>
      </c>
      <c r="G840" s="2" t="str">
        <f>IF(_xlfn.XLOOKUP(C840,Customers!$A$2:$A$1001,Customers!$C$2:$C$1001)=0,"",_xlfn.XLOOKUP(C840,Customers!$A$2:$A$1001,Customers!$C$2:$C$1001))</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_xlfn.XLOOKUP(Orders[[#This Row],[Customer ID]],Customers!$A$2:$A$1001,Customers!$I$2:$I$1001,0)</f>
        <v>No</v>
      </c>
    </row>
    <row r="841" spans="1:16" x14ac:dyDescent="0.3">
      <c r="A841" s="2" t="s">
        <v>5234</v>
      </c>
      <c r="B841" s="3">
        <v>44521</v>
      </c>
      <c r="C841" s="2" t="s">
        <v>5235</v>
      </c>
      <c r="D841" t="s">
        <v>6139</v>
      </c>
      <c r="E841" s="2">
        <v>5</v>
      </c>
      <c r="F841" s="2" t="str">
        <f>_xlfn.XLOOKUP(C841,Customers!$A$2:$A$1001,Customers!$B$2:$B$1001,0)</f>
        <v>Miran Doidge</v>
      </c>
      <c r="G841" s="2" t="str">
        <f>IF(_xlfn.XLOOKUP(C841,Customers!$A$2:$A$1001,Customers!$C$2:$C$1001)=0,"",_xlfn.XLOOKUP(C841,Customers!$A$2:$A$1001,Customers!$C$2:$C$1001))</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_xlfn.XLOOKUP(Orders[[#This Row],[Customer ID]],Customers!$A$2:$A$1001,Customers!$I$2:$I$1001,0)</f>
        <v>No</v>
      </c>
    </row>
    <row r="842" spans="1:16" x14ac:dyDescent="0.3">
      <c r="A842" s="2" t="s">
        <v>5240</v>
      </c>
      <c r="B842" s="3">
        <v>44574</v>
      </c>
      <c r="C842" s="2" t="s">
        <v>5241</v>
      </c>
      <c r="D842" t="s">
        <v>6173</v>
      </c>
      <c r="E842" s="2">
        <v>4</v>
      </c>
      <c r="F842" s="2" t="str">
        <f>_xlfn.XLOOKUP(C842,Customers!$A$2:$A$1001,Customers!$B$2:$B$1001,0)</f>
        <v>Janeva Edinboro</v>
      </c>
      <c r="G842" s="2" t="str">
        <f>IF(_xlfn.XLOOKUP(C842,Customers!$A$2:$A$1001,Customers!$C$2:$C$1001)=0,"",_xlfn.XLOOKUP(C842,Customers!$A$2:$A$1001,Customers!$C$2:$C$1001))</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_xlfn.XLOOKUP(Orders[[#This Row],[Customer ID]],Customers!$A$2:$A$1001,Customers!$I$2:$I$1001,0)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IF(_xlfn.XLOOKUP(C843,Customers!$A$2:$A$1001,Customers!$C$2:$C$1001)=0,"",_xlfn.XLOOKUP(C843,Customers!$A$2:$A$1001,Customers!$C$2:$C$1001))</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_xlfn.XLOOKUP(Orders[[#This Row],[Customer ID]],Customers!$A$2:$A$1001,Customers!$I$2:$I$1001,0)</f>
        <v>No</v>
      </c>
    </row>
    <row r="844" spans="1:16" x14ac:dyDescent="0.3">
      <c r="A844" s="2" t="s">
        <v>5251</v>
      </c>
      <c r="B844" s="3">
        <v>44502</v>
      </c>
      <c r="C844" s="2" t="s">
        <v>5188</v>
      </c>
      <c r="D844" t="s">
        <v>6156</v>
      </c>
      <c r="E844" s="2">
        <v>2</v>
      </c>
      <c r="F844" s="2" t="str">
        <f>_xlfn.XLOOKUP(C844,Customers!$A$2:$A$1001,Customers!$B$2:$B$1001,0)</f>
        <v>Odelia Skerme</v>
      </c>
      <c r="G844" s="2" t="str">
        <f>IF(_xlfn.XLOOKUP(C844,Customers!$A$2:$A$1001,Customers!$C$2:$C$1001)=0,"",_xlfn.XLOOKUP(C844,Customers!$A$2:$A$1001,Customers!$C$2:$C$1001))</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_xlfn.XLOOKUP(Orders[[#This Row],[Customer ID]],Customers!$A$2:$A$1001,Customers!$I$2:$I$1001,0)</f>
        <v>Yes</v>
      </c>
    </row>
    <row r="845" spans="1:16" x14ac:dyDescent="0.3">
      <c r="A845" s="2" t="s">
        <v>5256</v>
      </c>
      <c r="B845" s="3">
        <v>44387</v>
      </c>
      <c r="C845" s="2" t="s">
        <v>5257</v>
      </c>
      <c r="D845" t="s">
        <v>6156</v>
      </c>
      <c r="E845" s="2">
        <v>2</v>
      </c>
      <c r="F845" s="2" t="str">
        <f>_xlfn.XLOOKUP(C845,Customers!$A$2:$A$1001,Customers!$B$2:$B$1001,0)</f>
        <v>De Drewitt</v>
      </c>
      <c r="G845" s="2" t="str">
        <f>IF(_xlfn.XLOOKUP(C845,Customers!$A$2:$A$1001,Customers!$C$2:$C$1001)=0,"",_xlfn.XLOOKUP(C845,Customers!$A$2:$A$1001,Customers!$C$2:$C$1001))</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_xlfn.XLOOKUP(Orders[[#This Row],[Customer ID]],Customers!$A$2:$A$1001,Customers!$I$2:$I$1001,0)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IF(_xlfn.XLOOKUP(C846,Customers!$A$2:$A$1001,Customers!$C$2:$C$1001)=0,"",_xlfn.XLOOKUP(C846,Customers!$A$2:$A$1001,Customers!$C$2:$C$1001))</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_xlfn.XLOOKUP(Orders[[#This Row],[Customer ID]],Customers!$A$2:$A$1001,Customers!$I$2:$I$1001,0)</f>
        <v>Yes</v>
      </c>
    </row>
    <row r="847" spans="1:16" x14ac:dyDescent="0.3">
      <c r="A847" s="2" t="s">
        <v>5268</v>
      </c>
      <c r="B847" s="3">
        <v>43889</v>
      </c>
      <c r="C847" s="2" t="s">
        <v>5269</v>
      </c>
      <c r="D847" t="s">
        <v>6185</v>
      </c>
      <c r="E847" s="2">
        <v>6</v>
      </c>
      <c r="F847" s="2" t="str">
        <f>_xlfn.XLOOKUP(C847,Customers!$A$2:$A$1001,Customers!$B$2:$B$1001,0)</f>
        <v>Murielle Lorinez</v>
      </c>
      <c r="G847" s="2" t="str">
        <f>IF(_xlfn.XLOOKUP(C847,Customers!$A$2:$A$1001,Customers!$C$2:$C$1001)=0,"",_xlfn.XLOOKUP(C847,Customers!$A$2:$A$1001,Customers!$C$2:$C$1001))</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_xlfn.XLOOKUP(Orders[[#This Row],[Customer ID]],Customers!$A$2:$A$1001,Customers!$I$2:$I$1001,0)</f>
        <v>No</v>
      </c>
    </row>
    <row r="848" spans="1:16" x14ac:dyDescent="0.3">
      <c r="A848" s="2" t="s">
        <v>5273</v>
      </c>
      <c r="B848" s="3">
        <v>44747</v>
      </c>
      <c r="C848" s="2" t="s">
        <v>5274</v>
      </c>
      <c r="D848" t="s">
        <v>6175</v>
      </c>
      <c r="E848" s="2">
        <v>2</v>
      </c>
      <c r="F848" s="2" t="str">
        <f>_xlfn.XLOOKUP(C848,Customers!$A$2:$A$1001,Customers!$B$2:$B$1001,0)</f>
        <v>Edin Mathe</v>
      </c>
      <c r="G848" s="2" t="str">
        <f>IF(_xlfn.XLOOKUP(C848,Customers!$A$2:$A$1001,Customers!$C$2:$C$1001)=0,"",_xlfn.XLOOKUP(C848,Customers!$A$2:$A$1001,Customers!$C$2:$C$1001))</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_xlfn.XLOOKUP(Orders[[#This Row],[Customer ID]],Customers!$A$2:$A$1001,Customers!$I$2:$I$1001,0)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IF(_xlfn.XLOOKUP(C849,Customers!$A$2:$A$1001,Customers!$C$2:$C$1001)=0,"",_xlfn.XLOOKUP(C849,Customers!$A$2:$A$1001,Customers!$C$2:$C$1001))</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_xlfn.XLOOKUP(Orders[[#This Row],[Customer ID]],Customers!$A$2:$A$1001,Customers!$I$2:$I$1001,0)</f>
        <v>Yes</v>
      </c>
    </row>
    <row r="850" spans="1:16" x14ac:dyDescent="0.3">
      <c r="A850" s="2" t="s">
        <v>5283</v>
      </c>
      <c r="B850" s="3">
        <v>43468</v>
      </c>
      <c r="C850" s="2" t="s">
        <v>5284</v>
      </c>
      <c r="D850" t="s">
        <v>6176</v>
      </c>
      <c r="E850" s="2">
        <v>6</v>
      </c>
      <c r="F850" s="2" t="str">
        <f>_xlfn.XLOOKUP(C850,Customers!$A$2:$A$1001,Customers!$B$2:$B$1001,0)</f>
        <v>Spencer Wastell</v>
      </c>
      <c r="G850" s="2" t="str">
        <f>IF(_xlfn.XLOOKUP(C850,Customers!$A$2:$A$1001,Customers!$C$2:$C$1001)=0,"",_xlfn.XLOOKUP(C850,Customers!$A$2:$A$1001,Customers!$C$2:$C$1001))</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_xlfn.XLOOKUP(Orders[[#This Row],[Customer ID]],Customers!$A$2:$A$1001,Customers!$I$2:$I$1001,0)</f>
        <v>No</v>
      </c>
    </row>
    <row r="851" spans="1:16" x14ac:dyDescent="0.3">
      <c r="A851" s="2" t="s">
        <v>5288</v>
      </c>
      <c r="B851" s="3">
        <v>44628</v>
      </c>
      <c r="C851" s="2" t="s">
        <v>5289</v>
      </c>
      <c r="D851" t="s">
        <v>6167</v>
      </c>
      <c r="E851" s="2">
        <v>6</v>
      </c>
      <c r="F851" s="2" t="str">
        <f>_xlfn.XLOOKUP(C851,Customers!$A$2:$A$1001,Customers!$B$2:$B$1001,0)</f>
        <v>Jemimah Ethelston</v>
      </c>
      <c r="G851" s="2" t="str">
        <f>IF(_xlfn.XLOOKUP(C851,Customers!$A$2:$A$1001,Customers!$C$2:$C$1001)=0,"",_xlfn.XLOOKUP(C851,Customers!$A$2:$A$1001,Customers!$C$2:$C$1001))</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_xlfn.XLOOKUP(Orders[[#This Row],[Customer ID]],Customers!$A$2:$A$1001,Customers!$I$2:$I$1001,0)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IF(_xlfn.XLOOKUP(C852,Customers!$A$2:$A$1001,Customers!$C$2:$C$1001)=0,"",_xlfn.XLOOKUP(C852,Customers!$A$2:$A$1001,Customers!$C$2:$C$1001))</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_xlfn.XLOOKUP(Orders[[#This Row],[Customer ID]],Customers!$A$2:$A$1001,Customers!$I$2:$I$1001,0)</f>
        <v>Yes</v>
      </c>
    </row>
    <row r="853" spans="1:16" x14ac:dyDescent="0.3">
      <c r="A853" s="2" t="s">
        <v>5299</v>
      </c>
      <c r="B853" s="3">
        <v>43900</v>
      </c>
      <c r="C853" s="2" t="s">
        <v>5300</v>
      </c>
      <c r="D853" t="s">
        <v>6169</v>
      </c>
      <c r="E853" s="2">
        <v>1</v>
      </c>
      <c r="F853" s="2" t="str">
        <f>_xlfn.XLOOKUP(C853,Customers!$A$2:$A$1001,Customers!$B$2:$B$1001,0)</f>
        <v>Perice Eberz</v>
      </c>
      <c r="G853" s="2" t="str">
        <f>IF(_xlfn.XLOOKUP(C853,Customers!$A$2:$A$1001,Customers!$C$2:$C$1001)=0,"",_xlfn.XLOOKUP(C853,Customers!$A$2:$A$1001,Customers!$C$2:$C$1001))</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_xlfn.XLOOKUP(Orders[[#This Row],[Customer ID]],Customers!$A$2:$A$1001,Customers!$I$2:$I$1001,0)</f>
        <v>Yes</v>
      </c>
    </row>
    <row r="854" spans="1:16" x14ac:dyDescent="0.3">
      <c r="A854" s="2" t="s">
        <v>5305</v>
      </c>
      <c r="B854" s="3">
        <v>44527</v>
      </c>
      <c r="C854" s="2" t="s">
        <v>5306</v>
      </c>
      <c r="D854" t="s">
        <v>6165</v>
      </c>
      <c r="E854" s="2">
        <v>4</v>
      </c>
      <c r="F854" s="2" t="str">
        <f>_xlfn.XLOOKUP(C854,Customers!$A$2:$A$1001,Customers!$B$2:$B$1001,0)</f>
        <v>Bear Gaish</v>
      </c>
      <c r="G854" s="2" t="str">
        <f>IF(_xlfn.XLOOKUP(C854,Customers!$A$2:$A$1001,Customers!$C$2:$C$1001)=0,"",_xlfn.XLOOKUP(C854,Customers!$A$2:$A$1001,Customers!$C$2:$C$1001))</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_xlfn.XLOOKUP(Orders[[#This Row],[Customer ID]],Customers!$A$2:$A$1001,Customers!$I$2:$I$1001,0)</f>
        <v>Yes</v>
      </c>
    </row>
    <row r="855" spans="1:16" x14ac:dyDescent="0.3">
      <c r="A855" s="2" t="s">
        <v>5310</v>
      </c>
      <c r="B855" s="3">
        <v>44259</v>
      </c>
      <c r="C855" s="2" t="s">
        <v>5311</v>
      </c>
      <c r="D855" t="s">
        <v>6147</v>
      </c>
      <c r="E855" s="2">
        <v>2</v>
      </c>
      <c r="F855" s="2" t="str">
        <f>_xlfn.XLOOKUP(C855,Customers!$A$2:$A$1001,Customers!$B$2:$B$1001,0)</f>
        <v>Lynnea Danton</v>
      </c>
      <c r="G855" s="2" t="str">
        <f>IF(_xlfn.XLOOKUP(C855,Customers!$A$2:$A$1001,Customers!$C$2:$C$1001)=0,"",_xlfn.XLOOKUP(C855,Customers!$A$2:$A$1001,Customers!$C$2:$C$1001))</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_xlfn.XLOOKUP(Orders[[#This Row],[Customer ID]],Customers!$A$2:$A$1001,Customers!$I$2:$I$1001,0)</f>
        <v>No</v>
      </c>
    </row>
    <row r="856" spans="1:16" x14ac:dyDescent="0.3">
      <c r="A856" s="2" t="s">
        <v>5315</v>
      </c>
      <c r="B856" s="3">
        <v>44516</v>
      </c>
      <c r="C856" s="2" t="s">
        <v>5316</v>
      </c>
      <c r="D856" t="s">
        <v>6173</v>
      </c>
      <c r="E856" s="2">
        <v>5</v>
      </c>
      <c r="F856" s="2" t="str">
        <f>_xlfn.XLOOKUP(C856,Customers!$A$2:$A$1001,Customers!$B$2:$B$1001,0)</f>
        <v>Skipton Morrall</v>
      </c>
      <c r="G856" s="2" t="str">
        <f>IF(_xlfn.XLOOKUP(C856,Customers!$A$2:$A$1001,Customers!$C$2:$C$1001)=0,"",_xlfn.XLOOKUP(C856,Customers!$A$2:$A$1001,Customers!$C$2:$C$1001))</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_xlfn.XLOOKUP(Orders[[#This Row],[Customer ID]],Customers!$A$2:$A$1001,Customers!$I$2:$I$1001,0)</f>
        <v>Yes</v>
      </c>
    </row>
    <row r="857" spans="1:16" x14ac:dyDescent="0.3">
      <c r="A857" s="2" t="s">
        <v>5321</v>
      </c>
      <c r="B857" s="3">
        <v>43632</v>
      </c>
      <c r="C857" s="2" t="s">
        <v>5322</v>
      </c>
      <c r="D857" t="s">
        <v>6165</v>
      </c>
      <c r="E857" s="2">
        <v>3</v>
      </c>
      <c r="F857" s="2" t="str">
        <f>_xlfn.XLOOKUP(C857,Customers!$A$2:$A$1001,Customers!$B$2:$B$1001,0)</f>
        <v>Devan Crownshaw</v>
      </c>
      <c r="G857" s="2" t="str">
        <f>IF(_xlfn.XLOOKUP(C857,Customers!$A$2:$A$1001,Customers!$C$2:$C$1001)=0,"",_xlfn.XLOOKUP(C857,Customers!$A$2:$A$1001,Customers!$C$2:$C$1001))</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_xlfn.XLOOKUP(Orders[[#This Row],[Customer ID]],Customers!$A$2:$A$1001,Customers!$I$2:$I$1001,0)</f>
        <v>No</v>
      </c>
    </row>
    <row r="858" spans="1:16" x14ac:dyDescent="0.3">
      <c r="A858" s="2" t="s">
        <v>5327</v>
      </c>
      <c r="B858" s="3">
        <v>44031</v>
      </c>
      <c r="C858" s="2" t="s">
        <v>5188</v>
      </c>
      <c r="D858" t="s">
        <v>6159</v>
      </c>
      <c r="E858" s="2">
        <v>2</v>
      </c>
      <c r="F858" s="2" t="str">
        <f>_xlfn.XLOOKUP(C858,Customers!$A$2:$A$1001,Customers!$B$2:$B$1001,0)</f>
        <v>Odelia Skerme</v>
      </c>
      <c r="G858" s="2" t="str">
        <f>IF(_xlfn.XLOOKUP(C858,Customers!$A$2:$A$1001,Customers!$C$2:$C$1001)=0,"",_xlfn.XLOOKUP(C858,Customers!$A$2:$A$1001,Customers!$C$2:$C$1001))</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_xlfn.XLOOKUP(Orders[[#This Row],[Customer ID]],Customers!$A$2:$A$1001,Customers!$I$2:$I$1001,0)</f>
        <v>Yes</v>
      </c>
    </row>
    <row r="859" spans="1:16" x14ac:dyDescent="0.3">
      <c r="A859" s="2" t="s">
        <v>5333</v>
      </c>
      <c r="B859" s="3">
        <v>43889</v>
      </c>
      <c r="C859" s="2" t="s">
        <v>5334</v>
      </c>
      <c r="D859" t="s">
        <v>6142</v>
      </c>
      <c r="E859" s="2">
        <v>5</v>
      </c>
      <c r="F859" s="2" t="str">
        <f>_xlfn.XLOOKUP(C859,Customers!$A$2:$A$1001,Customers!$B$2:$B$1001,0)</f>
        <v>Joceline Reddoch</v>
      </c>
      <c r="G859" s="2" t="str">
        <f>IF(_xlfn.XLOOKUP(C859,Customers!$A$2:$A$1001,Customers!$C$2:$C$1001)=0,"",_xlfn.XLOOKUP(C859,Customers!$A$2:$A$1001,Customers!$C$2:$C$1001))</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_xlfn.XLOOKUP(Orders[[#This Row],[Customer ID]],Customers!$A$2:$A$1001,Customers!$I$2:$I$1001,0)</f>
        <v>No</v>
      </c>
    </row>
    <row r="860" spans="1:16" x14ac:dyDescent="0.3">
      <c r="A860" s="2" t="s">
        <v>5339</v>
      </c>
      <c r="B860" s="3">
        <v>43638</v>
      </c>
      <c r="C860" s="2" t="s">
        <v>5340</v>
      </c>
      <c r="D860" t="s">
        <v>6160</v>
      </c>
      <c r="E860" s="2">
        <v>4</v>
      </c>
      <c r="F860" s="2" t="str">
        <f>_xlfn.XLOOKUP(C860,Customers!$A$2:$A$1001,Customers!$B$2:$B$1001,0)</f>
        <v>Shelley Titley</v>
      </c>
      <c r="G860" s="2" t="str">
        <f>IF(_xlfn.XLOOKUP(C860,Customers!$A$2:$A$1001,Customers!$C$2:$C$1001)=0,"",_xlfn.XLOOKUP(C860,Customers!$A$2:$A$1001,Customers!$C$2:$C$1001))</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_xlfn.XLOOKUP(Orders[[#This Row],[Customer ID]],Customers!$A$2:$A$1001,Customers!$I$2:$I$1001,0)</f>
        <v>No</v>
      </c>
    </row>
    <row r="861" spans="1:16" x14ac:dyDescent="0.3">
      <c r="A861" s="2" t="s">
        <v>5345</v>
      </c>
      <c r="B861" s="3">
        <v>43716</v>
      </c>
      <c r="C861" s="2" t="s">
        <v>5346</v>
      </c>
      <c r="D861" t="s">
        <v>6182</v>
      </c>
      <c r="E861" s="2">
        <v>6</v>
      </c>
      <c r="F861" s="2" t="str">
        <f>_xlfn.XLOOKUP(C861,Customers!$A$2:$A$1001,Customers!$B$2:$B$1001,0)</f>
        <v>Redd Simao</v>
      </c>
      <c r="G861" s="2" t="str">
        <f>IF(_xlfn.XLOOKUP(C861,Customers!$A$2:$A$1001,Customers!$C$2:$C$1001)=0,"",_xlfn.XLOOKUP(C861,Customers!$A$2:$A$1001,Customers!$C$2:$C$1001))</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_xlfn.XLOOKUP(Orders[[#This Row],[Customer ID]],Customers!$A$2:$A$1001,Customers!$I$2:$I$1001,0)</f>
        <v>No</v>
      </c>
    </row>
    <row r="862" spans="1:16" x14ac:dyDescent="0.3">
      <c r="A862" s="2" t="s">
        <v>5351</v>
      </c>
      <c r="B862" s="3">
        <v>44707</v>
      </c>
      <c r="C862" s="2" t="s">
        <v>5352</v>
      </c>
      <c r="D862" t="s">
        <v>6175</v>
      </c>
      <c r="E862" s="2">
        <v>1</v>
      </c>
      <c r="F862" s="2" t="str">
        <f>_xlfn.XLOOKUP(C862,Customers!$A$2:$A$1001,Customers!$B$2:$B$1001,0)</f>
        <v>Cece Inker</v>
      </c>
      <c r="G862" s="2" t="str">
        <f>IF(_xlfn.XLOOKUP(C862,Customers!$A$2:$A$1001,Customers!$C$2:$C$1001)=0,"",_xlfn.XLOOKUP(C862,Customers!$A$2:$A$1001,Customers!$C$2:$C$1001))</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_xlfn.XLOOKUP(Orders[[#This Row],[Customer ID]],Customers!$A$2:$A$1001,Customers!$I$2:$I$1001,0)</f>
        <v>No</v>
      </c>
    </row>
    <row r="863" spans="1:16" x14ac:dyDescent="0.3">
      <c r="A863" s="2" t="s">
        <v>5356</v>
      </c>
      <c r="B863" s="3">
        <v>43802</v>
      </c>
      <c r="C863" s="2" t="s">
        <v>5357</v>
      </c>
      <c r="D863" t="s">
        <v>6143</v>
      </c>
      <c r="E863" s="2">
        <v>6</v>
      </c>
      <c r="F863" s="2" t="str">
        <f>_xlfn.XLOOKUP(C863,Customers!$A$2:$A$1001,Customers!$B$2:$B$1001,0)</f>
        <v>Noel Chisholm</v>
      </c>
      <c r="G863" s="2" t="str">
        <f>IF(_xlfn.XLOOKUP(C863,Customers!$A$2:$A$1001,Customers!$C$2:$C$1001)=0,"",_xlfn.XLOOKUP(C863,Customers!$A$2:$A$1001,Customers!$C$2:$C$1001))</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_xlfn.XLOOKUP(Orders[[#This Row],[Customer ID]],Customers!$A$2:$A$1001,Customers!$I$2:$I$1001,0)</f>
        <v>Yes</v>
      </c>
    </row>
    <row r="864" spans="1:16" x14ac:dyDescent="0.3">
      <c r="A864" s="2" t="s">
        <v>5362</v>
      </c>
      <c r="B864" s="3">
        <v>43725</v>
      </c>
      <c r="C864" s="2" t="s">
        <v>5363</v>
      </c>
      <c r="D864" t="s">
        <v>6138</v>
      </c>
      <c r="E864" s="2">
        <v>1</v>
      </c>
      <c r="F864" s="2" t="str">
        <f>_xlfn.XLOOKUP(C864,Customers!$A$2:$A$1001,Customers!$B$2:$B$1001,0)</f>
        <v>Grazia Oats</v>
      </c>
      <c r="G864" s="2" t="str">
        <f>IF(_xlfn.XLOOKUP(C864,Customers!$A$2:$A$1001,Customers!$C$2:$C$1001)=0,"",_xlfn.XLOOKUP(C864,Customers!$A$2:$A$1001,Customers!$C$2:$C$1001))</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_xlfn.XLOOKUP(Orders[[#This Row],[Customer ID]],Customers!$A$2:$A$1001,Customers!$I$2:$I$1001,0)</f>
        <v>Yes</v>
      </c>
    </row>
    <row r="865" spans="1:16" x14ac:dyDescent="0.3">
      <c r="A865" s="2" t="s">
        <v>5368</v>
      </c>
      <c r="B865" s="3">
        <v>44712</v>
      </c>
      <c r="C865" s="2" t="s">
        <v>5369</v>
      </c>
      <c r="D865" t="s">
        <v>6162</v>
      </c>
      <c r="E865" s="2">
        <v>2</v>
      </c>
      <c r="F865" s="2" t="str">
        <f>_xlfn.XLOOKUP(C865,Customers!$A$2:$A$1001,Customers!$B$2:$B$1001,0)</f>
        <v>Meade Birkin</v>
      </c>
      <c r="G865" s="2" t="str">
        <f>IF(_xlfn.XLOOKUP(C865,Customers!$A$2:$A$1001,Customers!$C$2:$C$1001)=0,"",_xlfn.XLOOKUP(C865,Customers!$A$2:$A$1001,Customers!$C$2:$C$1001))</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_xlfn.XLOOKUP(Orders[[#This Row],[Customer ID]],Customers!$A$2:$A$1001,Customers!$I$2:$I$1001,0)</f>
        <v>Yes</v>
      </c>
    </row>
    <row r="866" spans="1:16" x14ac:dyDescent="0.3">
      <c r="A866" s="2" t="s">
        <v>5374</v>
      </c>
      <c r="B866" s="3">
        <v>43759</v>
      </c>
      <c r="C866" s="2" t="s">
        <v>5375</v>
      </c>
      <c r="D866" t="s">
        <v>6178</v>
      </c>
      <c r="E866" s="2">
        <v>6</v>
      </c>
      <c r="F866" s="2" t="str">
        <f>_xlfn.XLOOKUP(C866,Customers!$A$2:$A$1001,Customers!$B$2:$B$1001,0)</f>
        <v>Ronda Pyson</v>
      </c>
      <c r="G866" s="2" t="str">
        <f>IF(_xlfn.XLOOKUP(C866,Customers!$A$2:$A$1001,Customers!$C$2:$C$1001)=0,"",_xlfn.XLOOKUP(C866,Customers!$A$2:$A$1001,Customers!$C$2:$C$1001))</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_xlfn.XLOOKUP(Orders[[#This Row],[Customer ID]],Customers!$A$2:$A$1001,Customers!$I$2:$I$1001,0)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IF(_xlfn.XLOOKUP(C867,Customers!$A$2:$A$1001,Customers!$C$2:$C$1001)=0,"",_xlfn.XLOOKUP(C867,Customers!$A$2:$A$1001,Customers!$C$2:$C$1001))</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_xlfn.XLOOKUP(Orders[[#This Row],[Customer ID]],Customers!$A$2:$A$1001,Customers!$I$2:$I$1001,0)</f>
        <v>Yes</v>
      </c>
    </row>
    <row r="868" spans="1:16" x14ac:dyDescent="0.3">
      <c r="A868" s="2" t="s">
        <v>5385</v>
      </c>
      <c r="B868" s="3">
        <v>44209</v>
      </c>
      <c r="C868" s="2" t="s">
        <v>5386</v>
      </c>
      <c r="D868" t="s">
        <v>6158</v>
      </c>
      <c r="E868" s="2">
        <v>3</v>
      </c>
      <c r="F868" s="2" t="str">
        <f>_xlfn.XLOOKUP(C868,Customers!$A$2:$A$1001,Customers!$B$2:$B$1001,0)</f>
        <v>Rafaela Treacher</v>
      </c>
      <c r="G868" s="2" t="str">
        <f>IF(_xlfn.XLOOKUP(C868,Customers!$A$2:$A$1001,Customers!$C$2:$C$1001)=0,"",_xlfn.XLOOKUP(C868,Customers!$A$2:$A$1001,Customers!$C$2:$C$1001))</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_xlfn.XLOOKUP(Orders[[#This Row],[Customer ID]],Customers!$A$2:$A$1001,Customers!$I$2:$I$1001,0)</f>
        <v>No</v>
      </c>
    </row>
    <row r="869" spans="1:16" x14ac:dyDescent="0.3">
      <c r="A869" s="2" t="s">
        <v>5391</v>
      </c>
      <c r="B869" s="3">
        <v>44792</v>
      </c>
      <c r="C869" s="2" t="s">
        <v>5392</v>
      </c>
      <c r="D869" t="s">
        <v>6182</v>
      </c>
      <c r="E869" s="2">
        <v>1</v>
      </c>
      <c r="F869" s="2" t="str">
        <f>_xlfn.XLOOKUP(C869,Customers!$A$2:$A$1001,Customers!$B$2:$B$1001,0)</f>
        <v>Bee Fattorini</v>
      </c>
      <c r="G869" s="2" t="str">
        <f>IF(_xlfn.XLOOKUP(C869,Customers!$A$2:$A$1001,Customers!$C$2:$C$1001)=0,"",_xlfn.XLOOKUP(C869,Customers!$A$2:$A$1001,Customers!$C$2:$C$1001))</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_xlfn.XLOOKUP(Orders[[#This Row],[Customer ID]],Customers!$A$2:$A$1001,Customers!$I$2:$I$1001,0)</f>
        <v>Yes</v>
      </c>
    </row>
    <row r="870" spans="1:16" x14ac:dyDescent="0.3">
      <c r="A870" s="2" t="s">
        <v>5396</v>
      </c>
      <c r="B870" s="3">
        <v>43526</v>
      </c>
      <c r="C870" s="2" t="s">
        <v>5397</v>
      </c>
      <c r="D870" t="s">
        <v>6139</v>
      </c>
      <c r="E870" s="2">
        <v>5</v>
      </c>
      <c r="F870" s="2" t="str">
        <f>_xlfn.XLOOKUP(C870,Customers!$A$2:$A$1001,Customers!$B$2:$B$1001,0)</f>
        <v>Margie Palleske</v>
      </c>
      <c r="G870" s="2" t="str">
        <f>IF(_xlfn.XLOOKUP(C870,Customers!$A$2:$A$1001,Customers!$C$2:$C$1001)=0,"",_xlfn.XLOOKUP(C870,Customers!$A$2:$A$1001,Customers!$C$2:$C$1001))</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_xlfn.XLOOKUP(Orders[[#This Row],[Customer ID]],Customers!$A$2:$A$1001,Customers!$I$2:$I$1001,0)</f>
        <v>Yes</v>
      </c>
    </row>
    <row r="871" spans="1:16" x14ac:dyDescent="0.3">
      <c r="A871" s="2" t="s">
        <v>5402</v>
      </c>
      <c r="B871" s="3">
        <v>43851</v>
      </c>
      <c r="C871" s="2" t="s">
        <v>5403</v>
      </c>
      <c r="D871" t="s">
        <v>6146</v>
      </c>
      <c r="E871" s="2">
        <v>3</v>
      </c>
      <c r="F871" s="2" t="str">
        <f>_xlfn.XLOOKUP(C871,Customers!$A$2:$A$1001,Customers!$B$2:$B$1001,0)</f>
        <v>Alexina Randals</v>
      </c>
      <c r="G871" s="2" t="str">
        <f>IF(_xlfn.XLOOKUP(C871,Customers!$A$2:$A$1001,Customers!$C$2:$C$1001)=0,"",_xlfn.XLOOKUP(C871,Customers!$A$2:$A$1001,Customers!$C$2:$C$1001))</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_xlfn.XLOOKUP(Orders[[#This Row],[Customer ID]],Customers!$A$2:$A$1001,Customers!$I$2:$I$1001,0)</f>
        <v>Yes</v>
      </c>
    </row>
    <row r="872" spans="1:16" x14ac:dyDescent="0.3">
      <c r="A872" s="2" t="s">
        <v>5407</v>
      </c>
      <c r="B872" s="3">
        <v>44460</v>
      </c>
      <c r="C872" s="2" t="s">
        <v>5408</v>
      </c>
      <c r="D872" t="s">
        <v>6144</v>
      </c>
      <c r="E872" s="2">
        <v>1</v>
      </c>
      <c r="F872" s="2" t="str">
        <f>_xlfn.XLOOKUP(C872,Customers!$A$2:$A$1001,Customers!$B$2:$B$1001,0)</f>
        <v>Filip Antcliffe</v>
      </c>
      <c r="G872" s="2" t="str">
        <f>IF(_xlfn.XLOOKUP(C872,Customers!$A$2:$A$1001,Customers!$C$2:$C$1001)=0,"",_xlfn.XLOOKUP(C872,Customers!$A$2:$A$1001,Customers!$C$2:$C$1001))</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_xlfn.XLOOKUP(Orders[[#This Row],[Customer ID]],Customers!$A$2:$A$1001,Customers!$I$2:$I$1001,0)</f>
        <v>Yes</v>
      </c>
    </row>
    <row r="873" spans="1:16" x14ac:dyDescent="0.3">
      <c r="A873" s="2" t="s">
        <v>5413</v>
      </c>
      <c r="B873" s="3">
        <v>43707</v>
      </c>
      <c r="C873" s="2" t="s">
        <v>5414</v>
      </c>
      <c r="D873" t="s">
        <v>6171</v>
      </c>
      <c r="E873" s="2">
        <v>2</v>
      </c>
      <c r="F873" s="2" t="str">
        <f>_xlfn.XLOOKUP(C873,Customers!$A$2:$A$1001,Customers!$B$2:$B$1001,0)</f>
        <v>Peyter Matignon</v>
      </c>
      <c r="G873" s="2" t="str">
        <f>IF(_xlfn.XLOOKUP(C873,Customers!$A$2:$A$1001,Customers!$C$2:$C$1001)=0,"",_xlfn.XLOOKUP(C873,Customers!$A$2:$A$1001,Customers!$C$2:$C$1001))</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_xlfn.XLOOKUP(Orders[[#This Row],[Customer ID]],Customers!$A$2:$A$1001,Customers!$I$2:$I$1001,0)</f>
        <v>Yes</v>
      </c>
    </row>
    <row r="874" spans="1:16" x14ac:dyDescent="0.3">
      <c r="A874" s="2" t="s">
        <v>5421</v>
      </c>
      <c r="B874" s="3">
        <v>43521</v>
      </c>
      <c r="C874" s="2" t="s">
        <v>5422</v>
      </c>
      <c r="D874" t="s">
        <v>6155</v>
      </c>
      <c r="E874" s="2">
        <v>2</v>
      </c>
      <c r="F874" s="2" t="str">
        <f>_xlfn.XLOOKUP(C874,Customers!$A$2:$A$1001,Customers!$B$2:$B$1001,0)</f>
        <v>Claudie Weond</v>
      </c>
      <c r="G874" s="2" t="str">
        <f>IF(_xlfn.XLOOKUP(C874,Customers!$A$2:$A$1001,Customers!$C$2:$C$1001)=0,"",_xlfn.XLOOKUP(C874,Customers!$A$2:$A$1001,Customers!$C$2:$C$1001))</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_xlfn.XLOOKUP(Orders[[#This Row],[Customer ID]],Customers!$A$2:$A$1001,Customers!$I$2:$I$1001,0)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IF(_xlfn.XLOOKUP(C875,Customers!$A$2:$A$1001,Customers!$C$2:$C$1001)=0,"",_xlfn.XLOOKUP(C875,Customers!$A$2:$A$1001,Customers!$C$2:$C$1001))</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_xlfn.XLOOKUP(Orders[[#This Row],[Customer ID]],Customers!$A$2:$A$1001,Customers!$I$2:$I$1001,0)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IF(_xlfn.XLOOKUP(C876,Customers!$A$2:$A$1001,Customers!$C$2:$C$1001)=0,"",_xlfn.XLOOKUP(C876,Customers!$A$2:$A$1001,Customers!$C$2:$C$1001))</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_xlfn.XLOOKUP(Orders[[#This Row],[Customer ID]],Customers!$A$2:$A$1001,Customers!$I$2:$I$1001,0)</f>
        <v>No</v>
      </c>
    </row>
    <row r="877" spans="1:16" x14ac:dyDescent="0.3">
      <c r="A877" s="2" t="s">
        <v>5439</v>
      </c>
      <c r="B877" s="3">
        <v>44253</v>
      </c>
      <c r="C877" s="2" t="s">
        <v>5440</v>
      </c>
      <c r="D877" t="s">
        <v>6160</v>
      </c>
      <c r="E877" s="2">
        <v>5</v>
      </c>
      <c r="F877" s="2" t="str">
        <f>_xlfn.XLOOKUP(C877,Customers!$A$2:$A$1001,Customers!$B$2:$B$1001,0)</f>
        <v>Orazio Comber</v>
      </c>
      <c r="G877" s="2" t="str">
        <f>IF(_xlfn.XLOOKUP(C877,Customers!$A$2:$A$1001,Customers!$C$2:$C$1001)=0,"",_xlfn.XLOOKUP(C877,Customers!$A$2:$A$1001,Customers!$C$2:$C$1001))</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_xlfn.XLOOKUP(Orders[[#This Row],[Customer ID]],Customers!$A$2:$A$1001,Customers!$I$2:$I$1001,0)</f>
        <v>No</v>
      </c>
    </row>
    <row r="878" spans="1:16" x14ac:dyDescent="0.3">
      <c r="A878" s="2" t="s">
        <v>5439</v>
      </c>
      <c r="B878" s="3">
        <v>44253</v>
      </c>
      <c r="C878" s="2" t="s">
        <v>5440</v>
      </c>
      <c r="D878" t="s">
        <v>6180</v>
      </c>
      <c r="E878" s="2">
        <v>6</v>
      </c>
      <c r="F878" s="2" t="str">
        <f>_xlfn.XLOOKUP(C878,Customers!$A$2:$A$1001,Customers!$B$2:$B$1001,0)</f>
        <v>Orazio Comber</v>
      </c>
      <c r="G878" s="2" t="str">
        <f>IF(_xlfn.XLOOKUP(C878,Customers!$A$2:$A$1001,Customers!$C$2:$C$1001)=0,"",_xlfn.XLOOKUP(C878,Customers!$A$2:$A$1001,Customers!$C$2:$C$1001))</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_xlfn.XLOOKUP(Orders[[#This Row],[Customer ID]],Customers!$A$2:$A$1001,Customers!$I$2:$I$1001,0)</f>
        <v>No</v>
      </c>
    </row>
    <row r="879" spans="1:16" x14ac:dyDescent="0.3">
      <c r="A879" s="2" t="s">
        <v>5450</v>
      </c>
      <c r="B879" s="3">
        <v>44411</v>
      </c>
      <c r="C879" s="2" t="s">
        <v>5451</v>
      </c>
      <c r="D879" t="s">
        <v>6161</v>
      </c>
      <c r="E879" s="2">
        <v>3</v>
      </c>
      <c r="F879" s="2" t="str">
        <f>_xlfn.XLOOKUP(C879,Customers!$A$2:$A$1001,Customers!$B$2:$B$1001,0)</f>
        <v>Zachary Tramel</v>
      </c>
      <c r="G879" s="2" t="str">
        <f>IF(_xlfn.XLOOKUP(C879,Customers!$A$2:$A$1001,Customers!$C$2:$C$1001)=0,"",_xlfn.XLOOKUP(C879,Customers!$A$2:$A$1001,Customers!$C$2:$C$1001))</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_xlfn.XLOOKUP(Orders[[#This Row],[Customer ID]],Customers!$A$2:$A$1001,Customers!$I$2:$I$1001,0)</f>
        <v>No</v>
      </c>
    </row>
    <row r="880" spans="1:16" x14ac:dyDescent="0.3">
      <c r="A880" s="2" t="s">
        <v>5456</v>
      </c>
      <c r="B880" s="3">
        <v>44323</v>
      </c>
      <c r="C880" s="2" t="s">
        <v>5457</v>
      </c>
      <c r="D880" t="s">
        <v>6142</v>
      </c>
      <c r="E880" s="2">
        <v>1</v>
      </c>
      <c r="F880" s="2" t="str">
        <f>_xlfn.XLOOKUP(C880,Customers!$A$2:$A$1001,Customers!$B$2:$B$1001,0)</f>
        <v>Izaak Primak</v>
      </c>
      <c r="G880" s="2" t="str">
        <f>IF(_xlfn.XLOOKUP(C880,Customers!$A$2:$A$1001,Customers!$C$2:$C$1001)=0,"",_xlfn.XLOOKUP(C880,Customers!$A$2:$A$1001,Customers!$C$2:$C$1001))</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_xlfn.XLOOKUP(Orders[[#This Row],[Customer ID]],Customers!$A$2:$A$1001,Customers!$I$2:$I$1001,0)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IF(_xlfn.XLOOKUP(C881,Customers!$A$2:$A$1001,Customers!$C$2:$C$1001)=0,"",_xlfn.XLOOKUP(C881,Customers!$A$2:$A$1001,Customers!$C$2:$C$1001))</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_xlfn.XLOOKUP(Orders[[#This Row],[Customer ID]],Customers!$A$2:$A$1001,Customers!$I$2:$I$1001,0)</f>
        <v>No</v>
      </c>
    </row>
    <row r="882" spans="1:16" x14ac:dyDescent="0.3">
      <c r="A882" s="2" t="s">
        <v>5466</v>
      </c>
      <c r="B882" s="3">
        <v>43790</v>
      </c>
      <c r="C882" s="2" t="s">
        <v>5467</v>
      </c>
      <c r="D882" t="s">
        <v>6178</v>
      </c>
      <c r="E882" s="2">
        <v>2</v>
      </c>
      <c r="F882" s="2" t="str">
        <f>_xlfn.XLOOKUP(C882,Customers!$A$2:$A$1001,Customers!$B$2:$B$1001,0)</f>
        <v>Constanta Hatfull</v>
      </c>
      <c r="G882" s="2" t="str">
        <f>IF(_xlfn.XLOOKUP(C882,Customers!$A$2:$A$1001,Customers!$C$2:$C$1001)=0,"",_xlfn.XLOOKUP(C882,Customers!$A$2:$A$1001,Customers!$C$2:$C$1001))</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_xlfn.XLOOKUP(Orders[[#This Row],[Customer ID]],Customers!$A$2:$A$1001,Customers!$I$2:$I$1001,0)</f>
        <v>No</v>
      </c>
    </row>
    <row r="883" spans="1:16" x14ac:dyDescent="0.3">
      <c r="A883" s="2" t="s">
        <v>5472</v>
      </c>
      <c r="B883" s="3">
        <v>44286</v>
      </c>
      <c r="C883" s="2" t="s">
        <v>5473</v>
      </c>
      <c r="D883" t="s">
        <v>6167</v>
      </c>
      <c r="E883" s="2">
        <v>6</v>
      </c>
      <c r="F883" s="2" t="str">
        <f>_xlfn.XLOOKUP(C883,Customers!$A$2:$A$1001,Customers!$B$2:$B$1001,0)</f>
        <v>Bobbe Castagneto</v>
      </c>
      <c r="G883" s="2" t="str">
        <f>IF(_xlfn.XLOOKUP(C883,Customers!$A$2:$A$1001,Customers!$C$2:$C$1001)=0,"",_xlfn.XLOOKUP(C883,Customers!$A$2:$A$1001,Customers!$C$2:$C$1001))</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_xlfn.XLOOKUP(Orders[[#This Row],[Customer ID]],Customers!$A$2:$A$1001,Customers!$I$2:$I$1001,0)</f>
        <v>Yes</v>
      </c>
    </row>
    <row r="884" spans="1:16" x14ac:dyDescent="0.3">
      <c r="A884" s="2" t="s">
        <v>5477</v>
      </c>
      <c r="B884" s="3">
        <v>43647</v>
      </c>
      <c r="C884" s="2" t="s">
        <v>5526</v>
      </c>
      <c r="D884" t="s">
        <v>6168</v>
      </c>
      <c r="E884" s="2">
        <v>5</v>
      </c>
      <c r="F884" s="2" t="str">
        <f>_xlfn.XLOOKUP(C884,Customers!$A$2:$A$1001,Customers!$B$2:$B$1001,0)</f>
        <v>Kippie Marrison</v>
      </c>
      <c r="G884" s="2" t="str">
        <f>IF(_xlfn.XLOOKUP(C884,Customers!$A$2:$A$1001,Customers!$C$2:$C$1001)=0,"",_xlfn.XLOOKUP(C884,Customers!$A$2:$A$1001,Customers!$C$2:$C$1001))</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_xlfn.XLOOKUP(Orders[[#This Row],[Customer ID]],Customers!$A$2:$A$1001,Customers!$I$2:$I$1001,0)</f>
        <v>Yes</v>
      </c>
    </row>
    <row r="885" spans="1:16" x14ac:dyDescent="0.3">
      <c r="A885" s="2" t="s">
        <v>5483</v>
      </c>
      <c r="B885" s="3">
        <v>43956</v>
      </c>
      <c r="C885" s="2" t="s">
        <v>5484</v>
      </c>
      <c r="D885" t="s">
        <v>6175</v>
      </c>
      <c r="E885" s="2">
        <v>3</v>
      </c>
      <c r="F885" s="2" t="str">
        <f>_xlfn.XLOOKUP(C885,Customers!$A$2:$A$1001,Customers!$B$2:$B$1001,0)</f>
        <v>Lindon Agnolo</v>
      </c>
      <c r="G885" s="2" t="str">
        <f>IF(_xlfn.XLOOKUP(C885,Customers!$A$2:$A$1001,Customers!$C$2:$C$1001)=0,"",_xlfn.XLOOKUP(C885,Customers!$A$2:$A$1001,Customers!$C$2:$C$1001))</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_xlfn.XLOOKUP(Orders[[#This Row],[Customer ID]],Customers!$A$2:$A$1001,Customers!$I$2:$I$1001,0)</f>
        <v>Yes</v>
      </c>
    </row>
    <row r="886" spans="1:16" x14ac:dyDescent="0.3">
      <c r="A886" s="2" t="s">
        <v>5489</v>
      </c>
      <c r="B886" s="3">
        <v>43941</v>
      </c>
      <c r="C886" s="2" t="s">
        <v>5490</v>
      </c>
      <c r="D886" t="s">
        <v>6172</v>
      </c>
      <c r="E886" s="2">
        <v>1</v>
      </c>
      <c r="F886" s="2" t="str">
        <f>_xlfn.XLOOKUP(C886,Customers!$A$2:$A$1001,Customers!$B$2:$B$1001,0)</f>
        <v>Delainey Kiddy</v>
      </c>
      <c r="G886" s="2" t="str">
        <f>IF(_xlfn.XLOOKUP(C886,Customers!$A$2:$A$1001,Customers!$C$2:$C$1001)=0,"",_xlfn.XLOOKUP(C886,Customers!$A$2:$A$1001,Customers!$C$2:$C$1001))</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_xlfn.XLOOKUP(Orders[[#This Row],[Customer ID]],Customers!$A$2:$A$1001,Customers!$I$2:$I$1001,0)</f>
        <v>Yes</v>
      </c>
    </row>
    <row r="887" spans="1:16" x14ac:dyDescent="0.3">
      <c r="A887" s="2" t="s">
        <v>5495</v>
      </c>
      <c r="B887" s="3">
        <v>43664</v>
      </c>
      <c r="C887" s="2" t="s">
        <v>5496</v>
      </c>
      <c r="D887" t="s">
        <v>6149</v>
      </c>
      <c r="E887" s="2">
        <v>6</v>
      </c>
      <c r="F887" s="2" t="str">
        <f>_xlfn.XLOOKUP(C887,Customers!$A$2:$A$1001,Customers!$B$2:$B$1001,0)</f>
        <v>Helli Petroulis</v>
      </c>
      <c r="G887" s="2" t="str">
        <f>IF(_xlfn.XLOOKUP(C887,Customers!$A$2:$A$1001,Customers!$C$2:$C$1001)=0,"",_xlfn.XLOOKUP(C887,Customers!$A$2:$A$1001,Customers!$C$2:$C$1001))</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_xlfn.XLOOKUP(Orders[[#This Row],[Customer ID]],Customers!$A$2:$A$1001,Customers!$I$2:$I$1001,0)</f>
        <v>No</v>
      </c>
    </row>
    <row r="888" spans="1:16" x14ac:dyDescent="0.3">
      <c r="A888" s="2" t="s">
        <v>5501</v>
      </c>
      <c r="B888" s="3">
        <v>44518</v>
      </c>
      <c r="C888" s="2" t="s">
        <v>5502</v>
      </c>
      <c r="D888" t="s">
        <v>6160</v>
      </c>
      <c r="E888" s="2">
        <v>2</v>
      </c>
      <c r="F888" s="2" t="str">
        <f>_xlfn.XLOOKUP(C888,Customers!$A$2:$A$1001,Customers!$B$2:$B$1001,0)</f>
        <v>Marty Scholl</v>
      </c>
      <c r="G888" s="2" t="str">
        <f>IF(_xlfn.XLOOKUP(C888,Customers!$A$2:$A$1001,Customers!$C$2:$C$1001)=0,"",_xlfn.XLOOKUP(C888,Customers!$A$2:$A$1001,Customers!$C$2:$C$1001))</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_xlfn.XLOOKUP(Orders[[#This Row],[Customer ID]],Customers!$A$2:$A$1001,Customers!$I$2:$I$1001,0)</f>
        <v>No</v>
      </c>
    </row>
    <row r="889" spans="1:16" x14ac:dyDescent="0.3">
      <c r="A889" s="2" t="s">
        <v>5507</v>
      </c>
      <c r="B889" s="3">
        <v>44002</v>
      </c>
      <c r="C889" s="2" t="s">
        <v>5508</v>
      </c>
      <c r="D889" t="s">
        <v>6184</v>
      </c>
      <c r="E889" s="2">
        <v>3</v>
      </c>
      <c r="F889" s="2" t="str">
        <f>_xlfn.XLOOKUP(C889,Customers!$A$2:$A$1001,Customers!$B$2:$B$1001,0)</f>
        <v>Kienan Ferson</v>
      </c>
      <c r="G889" s="2" t="str">
        <f>IF(_xlfn.XLOOKUP(C889,Customers!$A$2:$A$1001,Customers!$C$2:$C$1001)=0,"",_xlfn.XLOOKUP(C889,Customers!$A$2:$A$1001,Customers!$C$2:$C$1001))</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_xlfn.XLOOKUP(Orders[[#This Row],[Customer ID]],Customers!$A$2:$A$1001,Customers!$I$2:$I$1001,0)</f>
        <v>No</v>
      </c>
    </row>
    <row r="890" spans="1:16" x14ac:dyDescent="0.3">
      <c r="A890" s="2" t="s">
        <v>5513</v>
      </c>
      <c r="B890" s="3">
        <v>44292</v>
      </c>
      <c r="C890" s="2" t="s">
        <v>5514</v>
      </c>
      <c r="D890" t="s">
        <v>6167</v>
      </c>
      <c r="E890" s="2">
        <v>2</v>
      </c>
      <c r="F890" s="2" t="str">
        <f>_xlfn.XLOOKUP(C890,Customers!$A$2:$A$1001,Customers!$B$2:$B$1001,0)</f>
        <v>Blake Kelloway</v>
      </c>
      <c r="G890" s="2" t="str">
        <f>IF(_xlfn.XLOOKUP(C890,Customers!$A$2:$A$1001,Customers!$C$2:$C$1001)=0,"",_xlfn.XLOOKUP(C890,Customers!$A$2:$A$1001,Customers!$C$2:$C$1001))</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_xlfn.XLOOKUP(Orders[[#This Row],[Customer ID]],Customers!$A$2:$A$1001,Customers!$I$2:$I$1001,0)</f>
        <v>Yes</v>
      </c>
    </row>
    <row r="891" spans="1:16" x14ac:dyDescent="0.3">
      <c r="A891" s="2" t="s">
        <v>5519</v>
      </c>
      <c r="B891" s="3">
        <v>43633</v>
      </c>
      <c r="C891" s="2" t="s">
        <v>5520</v>
      </c>
      <c r="D891" t="s">
        <v>6163</v>
      </c>
      <c r="E891" s="2">
        <v>1</v>
      </c>
      <c r="F891" s="2" t="str">
        <f>_xlfn.XLOOKUP(C891,Customers!$A$2:$A$1001,Customers!$B$2:$B$1001,0)</f>
        <v>Scarlett Oliffe</v>
      </c>
      <c r="G891" s="2" t="str">
        <f>IF(_xlfn.XLOOKUP(C891,Customers!$A$2:$A$1001,Customers!$C$2:$C$1001)=0,"",_xlfn.XLOOKUP(C891,Customers!$A$2:$A$1001,Customers!$C$2:$C$1001))</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_xlfn.XLOOKUP(Orders[[#This Row],[Customer ID]],Customers!$A$2:$A$1001,Customers!$I$2:$I$1001,0)</f>
        <v>Yes</v>
      </c>
    </row>
    <row r="892" spans="1:16" x14ac:dyDescent="0.3">
      <c r="A892" s="2" t="s">
        <v>5525</v>
      </c>
      <c r="B892" s="3">
        <v>44646</v>
      </c>
      <c r="C892" s="2" t="s">
        <v>5526</v>
      </c>
      <c r="D892" t="s">
        <v>6149</v>
      </c>
      <c r="E892" s="2">
        <v>1</v>
      </c>
      <c r="F892" s="2" t="str">
        <f>_xlfn.XLOOKUP(C892,Customers!$A$2:$A$1001,Customers!$B$2:$B$1001,0)</f>
        <v>Kippie Marrison</v>
      </c>
      <c r="G892" s="2" t="str">
        <f>IF(_xlfn.XLOOKUP(C892,Customers!$A$2:$A$1001,Customers!$C$2:$C$1001)=0,"",_xlfn.XLOOKUP(C892,Customers!$A$2:$A$1001,Customers!$C$2:$C$1001))</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_xlfn.XLOOKUP(Orders[[#This Row],[Customer ID]],Customers!$A$2:$A$1001,Customers!$I$2:$I$1001,0)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IF(_xlfn.XLOOKUP(C893,Customers!$A$2:$A$1001,Customers!$C$2:$C$1001)=0,"",_xlfn.XLOOKUP(C893,Customers!$A$2:$A$1001,Customers!$C$2:$C$1001))</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_xlfn.XLOOKUP(Orders[[#This Row],[Customer ID]],Customers!$A$2:$A$1001,Customers!$I$2:$I$1001,0)</f>
        <v>Yes</v>
      </c>
    </row>
    <row r="894" spans="1:16" x14ac:dyDescent="0.3">
      <c r="A894" s="2" t="s">
        <v>5537</v>
      </c>
      <c r="B894" s="3">
        <v>43635</v>
      </c>
      <c r="C894" s="2" t="s">
        <v>5538</v>
      </c>
      <c r="D894" t="s">
        <v>6156</v>
      </c>
      <c r="E894" s="2">
        <v>5</v>
      </c>
      <c r="F894" s="2" t="str">
        <f>_xlfn.XLOOKUP(C894,Customers!$A$2:$A$1001,Customers!$B$2:$B$1001,0)</f>
        <v>Patsy Vasilenko</v>
      </c>
      <c r="G894" s="2" t="str">
        <f>IF(_xlfn.XLOOKUP(C894,Customers!$A$2:$A$1001,Customers!$C$2:$C$1001)=0,"",_xlfn.XLOOKUP(C894,Customers!$A$2:$A$1001,Customers!$C$2:$C$1001))</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_xlfn.XLOOKUP(Orders[[#This Row],[Customer ID]],Customers!$A$2:$A$1001,Customers!$I$2:$I$1001,0)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IF(_xlfn.XLOOKUP(C895,Customers!$A$2:$A$1001,Customers!$C$2:$C$1001)=0,"",_xlfn.XLOOKUP(C895,Customers!$A$2:$A$1001,Customers!$C$2:$C$1001))</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_xlfn.XLOOKUP(Orders[[#This Row],[Customer ID]],Customers!$A$2:$A$1001,Customers!$I$2:$I$1001,0)</f>
        <v>Yes</v>
      </c>
    </row>
    <row r="896" spans="1:16" x14ac:dyDescent="0.3">
      <c r="A896" s="2" t="s">
        <v>5548</v>
      </c>
      <c r="B896" s="3">
        <v>44016</v>
      </c>
      <c r="C896" s="2" t="s">
        <v>5549</v>
      </c>
      <c r="D896" t="s">
        <v>6149</v>
      </c>
      <c r="E896" s="2">
        <v>4</v>
      </c>
      <c r="F896" s="2" t="str">
        <f>_xlfn.XLOOKUP(C896,Customers!$A$2:$A$1001,Customers!$B$2:$B$1001,0)</f>
        <v>Sharity Wickens</v>
      </c>
      <c r="G896" s="2" t="str">
        <f>IF(_xlfn.XLOOKUP(C896,Customers!$A$2:$A$1001,Customers!$C$2:$C$1001)=0,"",_xlfn.XLOOKUP(C896,Customers!$A$2:$A$1001,Customers!$C$2:$C$1001))</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_xlfn.XLOOKUP(Orders[[#This Row],[Customer ID]],Customers!$A$2:$A$1001,Customers!$I$2:$I$1001,0)</f>
        <v>Yes</v>
      </c>
    </row>
    <row r="897" spans="1:16" x14ac:dyDescent="0.3">
      <c r="A897" s="2" t="s">
        <v>5553</v>
      </c>
      <c r="B897" s="3">
        <v>44521</v>
      </c>
      <c r="C897" s="2" t="s">
        <v>5554</v>
      </c>
      <c r="D897" t="s">
        <v>6166</v>
      </c>
      <c r="E897" s="2">
        <v>5</v>
      </c>
      <c r="F897" s="2" t="str">
        <f>_xlfn.XLOOKUP(C897,Customers!$A$2:$A$1001,Customers!$B$2:$B$1001,0)</f>
        <v>Derick Snow</v>
      </c>
      <c r="G897" s="2" t="str">
        <f>IF(_xlfn.XLOOKUP(C897,Customers!$A$2:$A$1001,Customers!$C$2:$C$1001)=0,"",_xlfn.XLOOKUP(C897,Customers!$A$2:$A$1001,Customers!$C$2:$C$1001))</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_xlfn.XLOOKUP(Orders[[#This Row],[Customer ID]],Customers!$A$2:$A$1001,Customers!$I$2:$I$1001,0)</f>
        <v>No</v>
      </c>
    </row>
    <row r="898" spans="1:16" x14ac:dyDescent="0.3">
      <c r="A898" s="2" t="s">
        <v>5558</v>
      </c>
      <c r="B898" s="3">
        <v>44347</v>
      </c>
      <c r="C898" s="2" t="s">
        <v>5559</v>
      </c>
      <c r="D898" t="s">
        <v>6172</v>
      </c>
      <c r="E898" s="2">
        <v>6</v>
      </c>
      <c r="F898" s="2" t="str">
        <f>_xlfn.XLOOKUP(C898,Customers!$A$2:$A$1001,Customers!$B$2:$B$1001,0)</f>
        <v>Baxy Cargen</v>
      </c>
      <c r="G898" s="2" t="str">
        <f>IF(_xlfn.XLOOKUP(C898,Customers!$A$2:$A$1001,Customers!$C$2:$C$1001)=0,"",_xlfn.XLOOKUP(C898,Customers!$A$2:$A$1001,Customers!$C$2:$C$1001))</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ref="M898:M961" si="42">L898*E898</f>
        <v>32.22</v>
      </c>
      <c r="N898" t="str">
        <f t="shared" ref="N898:N961" si="43">IF(I898="Rob","Robusta",IF(I898="Exc","Excelsa",IF(I898="Ara","Arabica",IF(I898="Lib","Liberica",""))))</f>
        <v>Robusta</v>
      </c>
      <c r="O898" t="str">
        <f t="shared" ref="O898:O961" si="44">IF(J898="M","Medium",IF(J898="L","Light",IF(J898="D","Dark","")))</f>
        <v>Dark</v>
      </c>
      <c r="P898" t="str">
        <f>_xlfn.XLOOKUP(Orders[[#This Row],[Customer ID]],Customers!$A$2:$A$1001,Customers!$I$2:$I$1001,0)</f>
        <v>Yes</v>
      </c>
    </row>
    <row r="899" spans="1:16" x14ac:dyDescent="0.3">
      <c r="A899" s="2" t="s">
        <v>5564</v>
      </c>
      <c r="B899" s="3">
        <v>43932</v>
      </c>
      <c r="C899" s="2" t="s">
        <v>5565</v>
      </c>
      <c r="D899" t="s">
        <v>6183</v>
      </c>
      <c r="E899" s="2">
        <v>2</v>
      </c>
      <c r="F899" s="2" t="str">
        <f>_xlfn.XLOOKUP(C899,Customers!$A$2:$A$1001,Customers!$B$2:$B$1001,0)</f>
        <v>Ryann Stickler</v>
      </c>
      <c r="G899" s="2" t="str">
        <f>IF(_xlfn.XLOOKUP(C899,Customers!$A$2:$A$1001,Customers!$C$2:$C$1001)=0,"",_xlfn.XLOOKUP(C899,Customers!$A$2:$A$1001,Customers!$C$2:$C$1001))</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si="42"/>
        <v>24.3</v>
      </c>
      <c r="N899" t="str">
        <f t="shared" si="43"/>
        <v>Excelsa</v>
      </c>
      <c r="O899" t="str">
        <f t="shared" si="44"/>
        <v>Dark</v>
      </c>
      <c r="P899" t="str">
        <f>_xlfn.XLOOKUP(Orders[[#This Row],[Customer ID]],Customers!$A$2:$A$1001,Customers!$I$2:$I$1001,0)</f>
        <v>No</v>
      </c>
    </row>
    <row r="900" spans="1:16" x14ac:dyDescent="0.3">
      <c r="A900" s="2" t="s">
        <v>5570</v>
      </c>
      <c r="B900" s="3">
        <v>44089</v>
      </c>
      <c r="C900" s="2" t="s">
        <v>5571</v>
      </c>
      <c r="D900" t="s">
        <v>6173</v>
      </c>
      <c r="E900" s="2">
        <v>5</v>
      </c>
      <c r="F900" s="2" t="str">
        <f>_xlfn.XLOOKUP(C900,Customers!$A$2:$A$1001,Customers!$B$2:$B$1001,0)</f>
        <v>Daryn Cassius</v>
      </c>
      <c r="G900" s="2" t="str">
        <f>IF(_xlfn.XLOOKUP(C900,Customers!$A$2:$A$1001,Customers!$C$2:$C$1001)=0,"",_xlfn.XLOOKUP(C900,Customers!$A$2:$A$1001,Customers!$C$2:$C$1001))</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_xlfn.XLOOKUP(Orders[[#This Row],[Customer ID]],Customers!$A$2:$A$1001,Customers!$I$2:$I$1001,0)</f>
        <v>No</v>
      </c>
    </row>
    <row r="901" spans="1:16" x14ac:dyDescent="0.3">
      <c r="A901" s="2" t="s">
        <v>5575</v>
      </c>
      <c r="B901" s="3">
        <v>44523</v>
      </c>
      <c r="C901" s="2" t="s">
        <v>5554</v>
      </c>
      <c r="D901" t="s">
        <v>6162</v>
      </c>
      <c r="E901" s="2">
        <v>5</v>
      </c>
      <c r="F901" s="2" t="str">
        <f>_xlfn.XLOOKUP(C901,Customers!$A$2:$A$1001,Customers!$B$2:$B$1001,0)</f>
        <v>Derick Snow</v>
      </c>
      <c r="G901" s="2" t="str">
        <f>IF(_xlfn.XLOOKUP(C901,Customers!$A$2:$A$1001,Customers!$C$2:$C$1001)=0,"",_xlfn.XLOOKUP(C901,Customers!$A$2:$A$1001,Customers!$C$2:$C$1001))</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_xlfn.XLOOKUP(Orders[[#This Row],[Customer ID]],Customers!$A$2:$A$1001,Customers!$I$2:$I$1001,0)</f>
        <v>No</v>
      </c>
    </row>
    <row r="902" spans="1:16" x14ac:dyDescent="0.3">
      <c r="A902" s="2" t="s">
        <v>5580</v>
      </c>
      <c r="B902" s="3">
        <v>44584</v>
      </c>
      <c r="C902" s="2" t="s">
        <v>5581</v>
      </c>
      <c r="D902" t="s">
        <v>6170</v>
      </c>
      <c r="E902" s="2">
        <v>3</v>
      </c>
      <c r="F902" s="2" t="str">
        <f>_xlfn.XLOOKUP(C902,Customers!$A$2:$A$1001,Customers!$B$2:$B$1001,0)</f>
        <v>Skelly Dolohunty</v>
      </c>
      <c r="G902" s="2" t="str">
        <f>IF(_xlfn.XLOOKUP(C902,Customers!$A$2:$A$1001,Customers!$C$2:$C$1001)=0,"",_xlfn.XLOOKUP(C902,Customers!$A$2:$A$1001,Customers!$C$2:$C$1001))</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_xlfn.XLOOKUP(Orders[[#This Row],[Customer ID]],Customers!$A$2:$A$1001,Customers!$I$2:$I$1001,0)</f>
        <v>No</v>
      </c>
    </row>
    <row r="903" spans="1:16" x14ac:dyDescent="0.3">
      <c r="A903" s="2" t="s">
        <v>5585</v>
      </c>
      <c r="B903" s="3">
        <v>44223</v>
      </c>
      <c r="C903" s="2" t="s">
        <v>5586</v>
      </c>
      <c r="D903" t="s">
        <v>6178</v>
      </c>
      <c r="E903" s="2">
        <v>1</v>
      </c>
      <c r="F903" s="2" t="str">
        <f>_xlfn.XLOOKUP(C903,Customers!$A$2:$A$1001,Customers!$B$2:$B$1001,0)</f>
        <v>Drake Jevon</v>
      </c>
      <c r="G903" s="2" t="str">
        <f>IF(_xlfn.XLOOKUP(C903,Customers!$A$2:$A$1001,Customers!$C$2:$C$1001)=0,"",_xlfn.XLOOKUP(C903,Customers!$A$2:$A$1001,Customers!$C$2:$C$1001))</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_xlfn.XLOOKUP(Orders[[#This Row],[Customer ID]],Customers!$A$2:$A$1001,Customers!$I$2:$I$1001,0)</f>
        <v>Yes</v>
      </c>
    </row>
    <row r="904" spans="1:16" x14ac:dyDescent="0.3">
      <c r="A904" s="2" t="s">
        <v>5591</v>
      </c>
      <c r="B904" s="3">
        <v>43640</v>
      </c>
      <c r="C904" s="2" t="s">
        <v>5592</v>
      </c>
      <c r="D904" t="s">
        <v>6166</v>
      </c>
      <c r="E904" s="2">
        <v>5</v>
      </c>
      <c r="F904" s="2" t="str">
        <f>_xlfn.XLOOKUP(C904,Customers!$A$2:$A$1001,Customers!$B$2:$B$1001,0)</f>
        <v>Hall Ranner</v>
      </c>
      <c r="G904" s="2" t="str">
        <f>IF(_xlfn.XLOOKUP(C904,Customers!$A$2:$A$1001,Customers!$C$2:$C$1001)=0,"",_xlfn.XLOOKUP(C904,Customers!$A$2:$A$1001,Customers!$C$2:$C$1001))</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_xlfn.XLOOKUP(Orders[[#This Row],[Customer ID]],Customers!$A$2:$A$1001,Customers!$I$2:$I$1001,0)</f>
        <v>No</v>
      </c>
    </row>
    <row r="905" spans="1:16" x14ac:dyDescent="0.3">
      <c r="A905" s="2" t="s">
        <v>5597</v>
      </c>
      <c r="B905" s="3">
        <v>43905</v>
      </c>
      <c r="C905" s="2" t="s">
        <v>5598</v>
      </c>
      <c r="D905" t="s">
        <v>6160</v>
      </c>
      <c r="E905" s="2">
        <v>2</v>
      </c>
      <c r="F905" s="2" t="str">
        <f>_xlfn.XLOOKUP(C905,Customers!$A$2:$A$1001,Customers!$B$2:$B$1001,0)</f>
        <v>Berkly Imrie</v>
      </c>
      <c r="G905" s="2" t="str">
        <f>IF(_xlfn.XLOOKUP(C905,Customers!$A$2:$A$1001,Customers!$C$2:$C$1001)=0,"",_xlfn.XLOOKUP(C905,Customers!$A$2:$A$1001,Customers!$C$2:$C$1001))</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_xlfn.XLOOKUP(Orders[[#This Row],[Customer ID]],Customers!$A$2:$A$1001,Customers!$I$2:$I$1001,0)</f>
        <v>No</v>
      </c>
    </row>
    <row r="906" spans="1:16" x14ac:dyDescent="0.3">
      <c r="A906" s="2" t="s">
        <v>5603</v>
      </c>
      <c r="B906" s="3">
        <v>44463</v>
      </c>
      <c r="C906" s="2" t="s">
        <v>5604</v>
      </c>
      <c r="D906" t="s">
        <v>6182</v>
      </c>
      <c r="E906" s="2">
        <v>5</v>
      </c>
      <c r="F906" s="2" t="str">
        <f>_xlfn.XLOOKUP(C906,Customers!$A$2:$A$1001,Customers!$B$2:$B$1001,0)</f>
        <v>Dorey Sopper</v>
      </c>
      <c r="G906" s="2" t="str">
        <f>IF(_xlfn.XLOOKUP(C906,Customers!$A$2:$A$1001,Customers!$C$2:$C$1001)=0,"",_xlfn.XLOOKUP(C906,Customers!$A$2:$A$1001,Customers!$C$2:$C$1001))</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_xlfn.XLOOKUP(Orders[[#This Row],[Customer ID]],Customers!$A$2:$A$1001,Customers!$I$2:$I$1001,0)</f>
        <v>No</v>
      </c>
    </row>
    <row r="907" spans="1:16" x14ac:dyDescent="0.3">
      <c r="A907" s="2" t="s">
        <v>5609</v>
      </c>
      <c r="B907" s="3">
        <v>43560</v>
      </c>
      <c r="C907" s="2" t="s">
        <v>5610</v>
      </c>
      <c r="D907" t="s">
        <v>6157</v>
      </c>
      <c r="E907" s="2">
        <v>6</v>
      </c>
      <c r="F907" s="2" t="str">
        <f>_xlfn.XLOOKUP(C907,Customers!$A$2:$A$1001,Customers!$B$2:$B$1001,0)</f>
        <v>Darcy Lochran</v>
      </c>
      <c r="G907" s="2" t="str">
        <f>IF(_xlfn.XLOOKUP(C907,Customers!$A$2:$A$1001,Customers!$C$2:$C$1001)=0,"",_xlfn.XLOOKUP(C907,Customers!$A$2:$A$1001,Customers!$C$2:$C$1001))</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_xlfn.XLOOKUP(Orders[[#This Row],[Customer ID]],Customers!$A$2:$A$1001,Customers!$I$2:$I$1001,0)</f>
        <v>Yes</v>
      </c>
    </row>
    <row r="908" spans="1:16" x14ac:dyDescent="0.3">
      <c r="A908" s="2" t="s">
        <v>5614</v>
      </c>
      <c r="B908" s="3">
        <v>44588</v>
      </c>
      <c r="C908" s="2" t="s">
        <v>5615</v>
      </c>
      <c r="D908" t="s">
        <v>6157</v>
      </c>
      <c r="E908" s="2">
        <v>4</v>
      </c>
      <c r="F908" s="2" t="str">
        <f>_xlfn.XLOOKUP(C908,Customers!$A$2:$A$1001,Customers!$B$2:$B$1001,0)</f>
        <v>Lauritz Ledgley</v>
      </c>
      <c r="G908" s="2" t="str">
        <f>IF(_xlfn.XLOOKUP(C908,Customers!$A$2:$A$1001,Customers!$C$2:$C$1001)=0,"",_xlfn.XLOOKUP(C908,Customers!$A$2:$A$1001,Customers!$C$2:$C$1001))</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_xlfn.XLOOKUP(Orders[[#This Row],[Customer ID]],Customers!$A$2:$A$1001,Customers!$I$2:$I$1001,0)</f>
        <v>Yes</v>
      </c>
    </row>
    <row r="909" spans="1:16" x14ac:dyDescent="0.3">
      <c r="A909" s="2" t="s">
        <v>5620</v>
      </c>
      <c r="B909" s="3">
        <v>44449</v>
      </c>
      <c r="C909" s="2" t="s">
        <v>5621</v>
      </c>
      <c r="D909" t="s">
        <v>6143</v>
      </c>
      <c r="E909" s="2">
        <v>3</v>
      </c>
      <c r="F909" s="2" t="str">
        <f>_xlfn.XLOOKUP(C909,Customers!$A$2:$A$1001,Customers!$B$2:$B$1001,0)</f>
        <v>Tawnya Menary</v>
      </c>
      <c r="G909" s="2" t="str">
        <f>IF(_xlfn.XLOOKUP(C909,Customers!$A$2:$A$1001,Customers!$C$2:$C$1001)=0,"",_xlfn.XLOOKUP(C909,Customers!$A$2:$A$1001,Customers!$C$2:$C$1001))</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_xlfn.XLOOKUP(Orders[[#This Row],[Customer ID]],Customers!$A$2:$A$1001,Customers!$I$2:$I$1001,0)</f>
        <v>No</v>
      </c>
    </row>
    <row r="910" spans="1:16" x14ac:dyDescent="0.3">
      <c r="A910" s="2" t="s">
        <v>5626</v>
      </c>
      <c r="B910" s="3">
        <v>43836</v>
      </c>
      <c r="C910" s="2" t="s">
        <v>5627</v>
      </c>
      <c r="D910" t="s">
        <v>6179</v>
      </c>
      <c r="E910" s="2">
        <v>5</v>
      </c>
      <c r="F910" s="2" t="str">
        <f>_xlfn.XLOOKUP(C910,Customers!$A$2:$A$1001,Customers!$B$2:$B$1001,0)</f>
        <v>Gustaf Ciccotti</v>
      </c>
      <c r="G910" s="2" t="str">
        <f>IF(_xlfn.XLOOKUP(C910,Customers!$A$2:$A$1001,Customers!$C$2:$C$1001)=0,"",_xlfn.XLOOKUP(C910,Customers!$A$2:$A$1001,Customers!$C$2:$C$1001))</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_xlfn.XLOOKUP(Orders[[#This Row],[Customer ID]],Customers!$A$2:$A$1001,Customers!$I$2:$I$1001,0)</f>
        <v>No</v>
      </c>
    </row>
    <row r="911" spans="1:16" x14ac:dyDescent="0.3">
      <c r="A911" s="2" t="s">
        <v>5632</v>
      </c>
      <c r="B911" s="3">
        <v>44635</v>
      </c>
      <c r="C911" s="2" t="s">
        <v>5633</v>
      </c>
      <c r="D911" t="s">
        <v>6178</v>
      </c>
      <c r="E911" s="2">
        <v>3</v>
      </c>
      <c r="F911" s="2" t="str">
        <f>_xlfn.XLOOKUP(C911,Customers!$A$2:$A$1001,Customers!$B$2:$B$1001,0)</f>
        <v>Bobbe Renner</v>
      </c>
      <c r="G911" s="2" t="str">
        <f>IF(_xlfn.XLOOKUP(C911,Customers!$A$2:$A$1001,Customers!$C$2:$C$1001)=0,"",_xlfn.XLOOKUP(C911,Customers!$A$2:$A$1001,Customers!$C$2:$C$1001))</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_xlfn.XLOOKUP(Orders[[#This Row],[Customer ID]],Customers!$A$2:$A$1001,Customers!$I$2:$I$1001,0)</f>
        <v>No</v>
      </c>
    </row>
    <row r="912" spans="1:16" x14ac:dyDescent="0.3">
      <c r="A912" s="2" t="s">
        <v>5637</v>
      </c>
      <c r="B912" s="3">
        <v>44447</v>
      </c>
      <c r="C912" s="2" t="s">
        <v>5638</v>
      </c>
      <c r="D912" t="s">
        <v>6168</v>
      </c>
      <c r="E912" s="2">
        <v>4</v>
      </c>
      <c r="F912" s="2" t="str">
        <f>_xlfn.XLOOKUP(C912,Customers!$A$2:$A$1001,Customers!$B$2:$B$1001,0)</f>
        <v>Wilton Jallin</v>
      </c>
      <c r="G912" s="2" t="str">
        <f>IF(_xlfn.XLOOKUP(C912,Customers!$A$2:$A$1001,Customers!$C$2:$C$1001)=0,"",_xlfn.XLOOKUP(C912,Customers!$A$2:$A$1001,Customers!$C$2:$C$1001))</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_xlfn.XLOOKUP(Orders[[#This Row],[Customer ID]],Customers!$A$2:$A$1001,Customers!$I$2:$I$1001,0)</f>
        <v>No</v>
      </c>
    </row>
    <row r="913" spans="1:16" x14ac:dyDescent="0.3">
      <c r="A913" s="2" t="s">
        <v>5643</v>
      </c>
      <c r="B913" s="3">
        <v>44511</v>
      </c>
      <c r="C913" s="2" t="s">
        <v>5644</v>
      </c>
      <c r="D913" t="s">
        <v>6155</v>
      </c>
      <c r="E913" s="2">
        <v>4</v>
      </c>
      <c r="F913" s="2" t="str">
        <f>_xlfn.XLOOKUP(C913,Customers!$A$2:$A$1001,Customers!$B$2:$B$1001,0)</f>
        <v>Mindy Bogey</v>
      </c>
      <c r="G913" s="2" t="str">
        <f>IF(_xlfn.XLOOKUP(C913,Customers!$A$2:$A$1001,Customers!$C$2:$C$1001)=0,"",_xlfn.XLOOKUP(C913,Customers!$A$2:$A$1001,Customers!$C$2:$C$1001))</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_xlfn.XLOOKUP(Orders[[#This Row],[Customer ID]],Customers!$A$2:$A$1001,Customers!$I$2:$I$1001,0)</f>
        <v>Yes</v>
      </c>
    </row>
    <row r="914" spans="1:16" x14ac:dyDescent="0.3">
      <c r="A914" s="2" t="s">
        <v>5649</v>
      </c>
      <c r="B914" s="3">
        <v>43726</v>
      </c>
      <c r="C914" s="2" t="s">
        <v>5650</v>
      </c>
      <c r="D914" t="s">
        <v>6151</v>
      </c>
      <c r="E914" s="2">
        <v>6</v>
      </c>
      <c r="F914" s="2" t="str">
        <f>_xlfn.XLOOKUP(C914,Customers!$A$2:$A$1001,Customers!$B$2:$B$1001,0)</f>
        <v>Paulie Fonzone</v>
      </c>
      <c r="G914" s="2" t="str">
        <f>IF(_xlfn.XLOOKUP(C914,Customers!$A$2:$A$1001,Customers!$C$2:$C$1001)=0,"",_xlfn.XLOOKUP(C914,Customers!$A$2:$A$1001,Customers!$C$2:$C$1001))</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_xlfn.XLOOKUP(Orders[[#This Row],[Customer ID]],Customers!$A$2:$A$1001,Customers!$I$2:$I$1001,0)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IF(_xlfn.XLOOKUP(C915,Customers!$A$2:$A$1001,Customers!$C$2:$C$1001)=0,"",_xlfn.XLOOKUP(C915,Customers!$A$2:$A$1001,Customers!$C$2:$C$1001))</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_xlfn.XLOOKUP(Orders[[#This Row],[Customer ID]],Customers!$A$2:$A$1001,Customers!$I$2:$I$1001,0)</f>
        <v>No</v>
      </c>
    </row>
    <row r="916" spans="1:16" x14ac:dyDescent="0.3">
      <c r="A916" s="2" t="s">
        <v>5660</v>
      </c>
      <c r="B916" s="3">
        <v>44640</v>
      </c>
      <c r="C916" s="2" t="s">
        <v>5661</v>
      </c>
      <c r="D916" t="s">
        <v>6155</v>
      </c>
      <c r="E916" s="2">
        <v>4</v>
      </c>
      <c r="F916" s="2" t="str">
        <f>_xlfn.XLOOKUP(C916,Customers!$A$2:$A$1001,Customers!$B$2:$B$1001,0)</f>
        <v>Antonius Lewry</v>
      </c>
      <c r="G916" s="2" t="str">
        <f>IF(_xlfn.XLOOKUP(C916,Customers!$A$2:$A$1001,Customers!$C$2:$C$1001)=0,"",_xlfn.XLOOKUP(C916,Customers!$A$2:$A$1001,Customers!$C$2:$C$1001))</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_xlfn.XLOOKUP(Orders[[#This Row],[Customer ID]],Customers!$A$2:$A$1001,Customers!$I$2:$I$1001,0)</f>
        <v>No</v>
      </c>
    </row>
    <row r="917" spans="1:16" x14ac:dyDescent="0.3">
      <c r="A917" s="2" t="s">
        <v>5666</v>
      </c>
      <c r="B917" s="3">
        <v>43955</v>
      </c>
      <c r="C917" s="2" t="s">
        <v>5667</v>
      </c>
      <c r="D917" t="s">
        <v>6185</v>
      </c>
      <c r="E917" s="2">
        <v>3</v>
      </c>
      <c r="F917" s="2" t="str">
        <f>_xlfn.XLOOKUP(C917,Customers!$A$2:$A$1001,Customers!$B$2:$B$1001,0)</f>
        <v>Isis Hessel</v>
      </c>
      <c r="G917" s="2" t="str">
        <f>IF(_xlfn.XLOOKUP(C917,Customers!$A$2:$A$1001,Customers!$C$2:$C$1001)=0,"",_xlfn.XLOOKUP(C917,Customers!$A$2:$A$1001,Customers!$C$2:$C$1001))</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_xlfn.XLOOKUP(Orders[[#This Row],[Customer ID]],Customers!$A$2:$A$1001,Customers!$I$2:$I$1001,0)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IF(_xlfn.XLOOKUP(C918,Customers!$A$2:$A$1001,Customers!$C$2:$C$1001)=0,"",_xlfn.XLOOKUP(C918,Customers!$A$2:$A$1001,Customers!$C$2:$C$1001))</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_xlfn.XLOOKUP(Orders[[#This Row],[Customer ID]],Customers!$A$2:$A$1001,Customers!$I$2:$I$1001,0)</f>
        <v>Yes</v>
      </c>
    </row>
    <row r="919" spans="1:16" x14ac:dyDescent="0.3">
      <c r="A919" s="2" t="s">
        <v>5676</v>
      </c>
      <c r="B919" s="3">
        <v>44573</v>
      </c>
      <c r="C919" s="2" t="s">
        <v>5677</v>
      </c>
      <c r="D919" t="s">
        <v>6157</v>
      </c>
      <c r="E919" s="2">
        <v>1</v>
      </c>
      <c r="F919" s="2" t="str">
        <f>_xlfn.XLOOKUP(C919,Customers!$A$2:$A$1001,Customers!$B$2:$B$1001,0)</f>
        <v>Chloris Sorrell</v>
      </c>
      <c r="G919" s="2" t="str">
        <f>IF(_xlfn.XLOOKUP(C919,Customers!$A$2:$A$1001,Customers!$C$2:$C$1001)=0,"",_xlfn.XLOOKUP(C919,Customers!$A$2:$A$1001,Customers!$C$2:$C$1001))</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_xlfn.XLOOKUP(Orders[[#This Row],[Customer ID]],Customers!$A$2:$A$1001,Customers!$I$2:$I$1001,0)</f>
        <v>No</v>
      </c>
    </row>
    <row r="920" spans="1:16" x14ac:dyDescent="0.3">
      <c r="A920" s="2" t="s">
        <v>5676</v>
      </c>
      <c r="B920" s="3">
        <v>44573</v>
      </c>
      <c r="C920" s="2" t="s">
        <v>5677</v>
      </c>
      <c r="D920" t="s">
        <v>6144</v>
      </c>
      <c r="E920" s="2">
        <v>3</v>
      </c>
      <c r="F920" s="2" t="str">
        <f>_xlfn.XLOOKUP(C920,Customers!$A$2:$A$1001,Customers!$B$2:$B$1001,0)</f>
        <v>Chloris Sorrell</v>
      </c>
      <c r="G920" s="2" t="str">
        <f>IF(_xlfn.XLOOKUP(C920,Customers!$A$2:$A$1001,Customers!$C$2:$C$1001)=0,"",_xlfn.XLOOKUP(C920,Customers!$A$2:$A$1001,Customers!$C$2:$C$1001))</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_xlfn.XLOOKUP(Orders[[#This Row],[Customer ID]],Customers!$A$2:$A$1001,Customers!$I$2:$I$1001,0)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IF(_xlfn.XLOOKUP(C921,Customers!$A$2:$A$1001,Customers!$C$2:$C$1001)=0,"",_xlfn.XLOOKUP(C921,Customers!$A$2:$A$1001,Customers!$C$2:$C$1001))</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_xlfn.XLOOKUP(Orders[[#This Row],[Customer ID]],Customers!$A$2:$A$1001,Customers!$I$2:$I$1001,0)</f>
        <v>Yes</v>
      </c>
    </row>
    <row r="922" spans="1:16" x14ac:dyDescent="0.3">
      <c r="A922" s="2" t="s">
        <v>5693</v>
      </c>
      <c r="B922" s="3">
        <v>44711</v>
      </c>
      <c r="C922" s="2" t="s">
        <v>5694</v>
      </c>
      <c r="D922" t="s">
        <v>6149</v>
      </c>
      <c r="E922" s="2">
        <v>6</v>
      </c>
      <c r="F922" s="2" t="str">
        <f>_xlfn.XLOOKUP(C922,Customers!$A$2:$A$1001,Customers!$B$2:$B$1001,0)</f>
        <v>Hadley Reuven</v>
      </c>
      <c r="G922" s="2" t="str">
        <f>IF(_xlfn.XLOOKUP(C922,Customers!$A$2:$A$1001,Customers!$C$2:$C$1001)=0,"",_xlfn.XLOOKUP(C922,Customers!$A$2:$A$1001,Customers!$C$2:$C$1001))</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_xlfn.XLOOKUP(Orders[[#This Row],[Customer ID]],Customers!$A$2:$A$1001,Customers!$I$2:$I$1001,0)</f>
        <v>No</v>
      </c>
    </row>
    <row r="923" spans="1:16" x14ac:dyDescent="0.3">
      <c r="A923" s="2" t="s">
        <v>5699</v>
      </c>
      <c r="B923" s="3">
        <v>44509</v>
      </c>
      <c r="C923" s="2" t="s">
        <v>5700</v>
      </c>
      <c r="D923" t="s">
        <v>6150</v>
      </c>
      <c r="E923" s="2">
        <v>2</v>
      </c>
      <c r="F923" s="2" t="str">
        <f>_xlfn.XLOOKUP(C923,Customers!$A$2:$A$1001,Customers!$B$2:$B$1001,0)</f>
        <v>Mitch Attwool</v>
      </c>
      <c r="G923" s="2" t="str">
        <f>IF(_xlfn.XLOOKUP(C923,Customers!$A$2:$A$1001,Customers!$C$2:$C$1001)=0,"",_xlfn.XLOOKUP(C923,Customers!$A$2:$A$1001,Customers!$C$2:$C$1001))</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_xlfn.XLOOKUP(Orders[[#This Row],[Customer ID]],Customers!$A$2:$A$1001,Customers!$I$2:$I$1001,0)</f>
        <v>No</v>
      </c>
    </row>
    <row r="924" spans="1:16" x14ac:dyDescent="0.3">
      <c r="A924" s="2" t="s">
        <v>5705</v>
      </c>
      <c r="B924" s="3">
        <v>44659</v>
      </c>
      <c r="C924" s="2" t="s">
        <v>5706</v>
      </c>
      <c r="D924" t="s">
        <v>6155</v>
      </c>
      <c r="E924" s="2">
        <v>6</v>
      </c>
      <c r="F924" s="2" t="str">
        <f>_xlfn.XLOOKUP(C924,Customers!$A$2:$A$1001,Customers!$B$2:$B$1001,0)</f>
        <v>Charin Maplethorp</v>
      </c>
      <c r="G924" s="2" t="str">
        <f>IF(_xlfn.XLOOKUP(C924,Customers!$A$2:$A$1001,Customers!$C$2:$C$1001)=0,"",_xlfn.XLOOKUP(C924,Customers!$A$2:$A$1001,Customers!$C$2:$C$1001))</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_xlfn.XLOOKUP(Orders[[#This Row],[Customer ID]],Customers!$A$2:$A$1001,Customers!$I$2:$I$1001,0)</f>
        <v>Yes</v>
      </c>
    </row>
    <row r="925" spans="1:16" x14ac:dyDescent="0.3">
      <c r="A925" s="2" t="s">
        <v>5709</v>
      </c>
      <c r="B925" s="3">
        <v>43746</v>
      </c>
      <c r="C925" s="2" t="s">
        <v>5710</v>
      </c>
      <c r="D925" t="s">
        <v>6185</v>
      </c>
      <c r="E925" s="2">
        <v>1</v>
      </c>
      <c r="F925" s="2" t="str">
        <f>_xlfn.XLOOKUP(C925,Customers!$A$2:$A$1001,Customers!$B$2:$B$1001,0)</f>
        <v>Goldie Wynes</v>
      </c>
      <c r="G925" s="2" t="str">
        <f>IF(_xlfn.XLOOKUP(C925,Customers!$A$2:$A$1001,Customers!$C$2:$C$1001)=0,"",_xlfn.XLOOKUP(C925,Customers!$A$2:$A$1001,Customers!$C$2:$C$1001))</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_xlfn.XLOOKUP(Orders[[#This Row],[Customer ID]],Customers!$A$2:$A$1001,Customers!$I$2:$I$1001,0)</f>
        <v>No</v>
      </c>
    </row>
    <row r="926" spans="1:16" x14ac:dyDescent="0.3">
      <c r="A926" s="2" t="s">
        <v>5715</v>
      </c>
      <c r="B926" s="3">
        <v>44451</v>
      </c>
      <c r="C926" s="2" t="s">
        <v>5716</v>
      </c>
      <c r="D926" t="s">
        <v>6182</v>
      </c>
      <c r="E926" s="2">
        <v>3</v>
      </c>
      <c r="F926" s="2" t="str">
        <f>_xlfn.XLOOKUP(C926,Customers!$A$2:$A$1001,Customers!$B$2:$B$1001,0)</f>
        <v>Celie MacCourt</v>
      </c>
      <c r="G926" s="2" t="str">
        <f>IF(_xlfn.XLOOKUP(C926,Customers!$A$2:$A$1001,Customers!$C$2:$C$1001)=0,"",_xlfn.XLOOKUP(C926,Customers!$A$2:$A$1001,Customers!$C$2:$C$1001))</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_xlfn.XLOOKUP(Orders[[#This Row],[Customer ID]],Customers!$A$2:$A$1001,Customers!$I$2:$I$1001,0)</f>
        <v>No</v>
      </c>
    </row>
    <row r="927" spans="1:16" x14ac:dyDescent="0.3">
      <c r="A927" s="2" t="s">
        <v>5720</v>
      </c>
      <c r="B927" s="3">
        <v>44770</v>
      </c>
      <c r="C927" s="2" t="s">
        <v>5554</v>
      </c>
      <c r="D927" t="s">
        <v>6157</v>
      </c>
      <c r="E927" s="2">
        <v>3</v>
      </c>
      <c r="F927" s="2" t="str">
        <f>_xlfn.XLOOKUP(C927,Customers!$A$2:$A$1001,Customers!$B$2:$B$1001,0)</f>
        <v>Derick Snow</v>
      </c>
      <c r="G927" s="2" t="str">
        <f>IF(_xlfn.XLOOKUP(C927,Customers!$A$2:$A$1001,Customers!$C$2:$C$1001)=0,"",_xlfn.XLOOKUP(C927,Customers!$A$2:$A$1001,Customers!$C$2:$C$1001))</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_xlfn.XLOOKUP(Orders[[#This Row],[Customer ID]],Customers!$A$2:$A$1001,Customers!$I$2:$I$1001,0)</f>
        <v>No</v>
      </c>
    </row>
    <row r="928" spans="1:16" x14ac:dyDescent="0.3">
      <c r="A928" s="2" t="s">
        <v>5725</v>
      </c>
      <c r="B928" s="3">
        <v>44012</v>
      </c>
      <c r="C928" s="2" t="s">
        <v>5726</v>
      </c>
      <c r="D928" t="s">
        <v>6157</v>
      </c>
      <c r="E928" s="2">
        <v>5</v>
      </c>
      <c r="F928" s="2" t="str">
        <f>_xlfn.XLOOKUP(C928,Customers!$A$2:$A$1001,Customers!$B$2:$B$1001,0)</f>
        <v>Evy Wilsone</v>
      </c>
      <c r="G928" s="2" t="str">
        <f>IF(_xlfn.XLOOKUP(C928,Customers!$A$2:$A$1001,Customers!$C$2:$C$1001)=0,"",_xlfn.XLOOKUP(C928,Customers!$A$2:$A$1001,Customers!$C$2:$C$1001))</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_xlfn.XLOOKUP(Orders[[#This Row],[Customer ID]],Customers!$A$2:$A$1001,Customers!$I$2:$I$1001,0)</f>
        <v>Yes</v>
      </c>
    </row>
    <row r="929" spans="1:16" x14ac:dyDescent="0.3">
      <c r="A929" s="2" t="s">
        <v>5731</v>
      </c>
      <c r="B929" s="3">
        <v>43474</v>
      </c>
      <c r="C929" s="2" t="s">
        <v>5732</v>
      </c>
      <c r="D929" t="s">
        <v>6185</v>
      </c>
      <c r="E929" s="2">
        <v>4</v>
      </c>
      <c r="F929" s="2" t="str">
        <f>_xlfn.XLOOKUP(C929,Customers!$A$2:$A$1001,Customers!$B$2:$B$1001,0)</f>
        <v>Dolores Duffie</v>
      </c>
      <c r="G929" s="2" t="str">
        <f>IF(_xlfn.XLOOKUP(C929,Customers!$A$2:$A$1001,Customers!$C$2:$C$1001)=0,"",_xlfn.XLOOKUP(C929,Customers!$A$2:$A$1001,Customers!$C$2:$C$1001))</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_xlfn.XLOOKUP(Orders[[#This Row],[Customer ID]],Customers!$A$2:$A$1001,Customers!$I$2:$I$1001,0)</f>
        <v>No</v>
      </c>
    </row>
    <row r="930" spans="1:16" x14ac:dyDescent="0.3">
      <c r="A930" s="2" t="s">
        <v>5737</v>
      </c>
      <c r="B930" s="3">
        <v>44754</v>
      </c>
      <c r="C930" s="2" t="s">
        <v>5738</v>
      </c>
      <c r="D930" t="s">
        <v>6166</v>
      </c>
      <c r="E930" s="2">
        <v>2</v>
      </c>
      <c r="F930" s="2" t="str">
        <f>_xlfn.XLOOKUP(C930,Customers!$A$2:$A$1001,Customers!$B$2:$B$1001,0)</f>
        <v>Mathilda Matiasek</v>
      </c>
      <c r="G930" s="2" t="str">
        <f>IF(_xlfn.XLOOKUP(C930,Customers!$A$2:$A$1001,Customers!$C$2:$C$1001)=0,"",_xlfn.XLOOKUP(C930,Customers!$A$2:$A$1001,Customers!$C$2:$C$1001))</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_xlfn.XLOOKUP(Orders[[#This Row],[Customer ID]],Customers!$A$2:$A$1001,Customers!$I$2:$I$1001,0)</f>
        <v>Yes</v>
      </c>
    </row>
    <row r="931" spans="1:16" x14ac:dyDescent="0.3">
      <c r="A931" s="2" t="s">
        <v>5742</v>
      </c>
      <c r="B931" s="3">
        <v>44165</v>
      </c>
      <c r="C931" s="2" t="s">
        <v>5743</v>
      </c>
      <c r="D931" t="s">
        <v>6184</v>
      </c>
      <c r="E931" s="2">
        <v>2</v>
      </c>
      <c r="F931" s="2" t="str">
        <f>_xlfn.XLOOKUP(C931,Customers!$A$2:$A$1001,Customers!$B$2:$B$1001,0)</f>
        <v>Jarred Camillo</v>
      </c>
      <c r="G931" s="2" t="str">
        <f>IF(_xlfn.XLOOKUP(C931,Customers!$A$2:$A$1001,Customers!$C$2:$C$1001)=0,"",_xlfn.XLOOKUP(C931,Customers!$A$2:$A$1001,Customers!$C$2:$C$1001))</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_xlfn.XLOOKUP(Orders[[#This Row],[Customer ID]],Customers!$A$2:$A$1001,Customers!$I$2:$I$1001,0)</f>
        <v>Yes</v>
      </c>
    </row>
    <row r="932" spans="1:16" x14ac:dyDescent="0.3">
      <c r="A932" s="2" t="s">
        <v>5748</v>
      </c>
      <c r="B932" s="3">
        <v>43546</v>
      </c>
      <c r="C932" s="2" t="s">
        <v>5749</v>
      </c>
      <c r="D932" t="s">
        <v>6183</v>
      </c>
      <c r="E932" s="2">
        <v>1</v>
      </c>
      <c r="F932" s="2" t="str">
        <f>_xlfn.XLOOKUP(C932,Customers!$A$2:$A$1001,Customers!$B$2:$B$1001,0)</f>
        <v>Kameko Philbrick</v>
      </c>
      <c r="G932" s="2" t="str">
        <f>IF(_xlfn.XLOOKUP(C932,Customers!$A$2:$A$1001,Customers!$C$2:$C$1001)=0,"",_xlfn.XLOOKUP(C932,Customers!$A$2:$A$1001,Customers!$C$2:$C$1001))</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_xlfn.XLOOKUP(Orders[[#This Row],[Customer ID]],Customers!$A$2:$A$1001,Customers!$I$2:$I$1001,0)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IF(_xlfn.XLOOKUP(C933,Customers!$A$2:$A$1001,Customers!$C$2:$C$1001)=0,"",_xlfn.XLOOKUP(C933,Customers!$A$2:$A$1001,Customers!$C$2:$C$1001))</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_xlfn.XLOOKUP(Orders[[#This Row],[Customer ID]],Customers!$A$2:$A$1001,Customers!$I$2:$I$1001,0)</f>
        <v>Yes</v>
      </c>
    </row>
    <row r="934" spans="1:16" x14ac:dyDescent="0.3">
      <c r="A934" s="2" t="s">
        <v>5757</v>
      </c>
      <c r="B934" s="3">
        <v>44117</v>
      </c>
      <c r="C934" s="2" t="s">
        <v>5758</v>
      </c>
      <c r="D934" t="s">
        <v>6141</v>
      </c>
      <c r="E934" s="2">
        <v>4</v>
      </c>
      <c r="F934" s="2" t="str">
        <f>_xlfn.XLOOKUP(C934,Customers!$A$2:$A$1001,Customers!$B$2:$B$1001,0)</f>
        <v>Barnett Sillis</v>
      </c>
      <c r="G934" s="2" t="str">
        <f>IF(_xlfn.XLOOKUP(C934,Customers!$A$2:$A$1001,Customers!$C$2:$C$1001)=0,"",_xlfn.XLOOKUP(C934,Customers!$A$2:$A$1001,Customers!$C$2:$C$1001))</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_xlfn.XLOOKUP(Orders[[#This Row],[Customer ID]],Customers!$A$2:$A$1001,Customers!$I$2:$I$1001,0)</f>
        <v>No</v>
      </c>
    </row>
    <row r="935" spans="1:16" x14ac:dyDescent="0.3">
      <c r="A935" s="2" t="s">
        <v>5763</v>
      </c>
      <c r="B935" s="3">
        <v>44557</v>
      </c>
      <c r="C935" s="2" t="s">
        <v>5764</v>
      </c>
      <c r="D935" t="s">
        <v>6177</v>
      </c>
      <c r="E935" s="2">
        <v>3</v>
      </c>
      <c r="F935" s="2" t="str">
        <f>_xlfn.XLOOKUP(C935,Customers!$A$2:$A$1001,Customers!$B$2:$B$1001,0)</f>
        <v>Brenn Dundredge</v>
      </c>
      <c r="G935" s="2" t="str">
        <f>IF(_xlfn.XLOOKUP(C935,Customers!$A$2:$A$1001,Customers!$C$2:$C$1001)=0,"",_xlfn.XLOOKUP(C935,Customers!$A$2:$A$1001,Customers!$C$2:$C$1001))</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_xlfn.XLOOKUP(Orders[[#This Row],[Customer ID]],Customers!$A$2:$A$1001,Customers!$I$2:$I$1001,0)</f>
        <v>Yes</v>
      </c>
    </row>
    <row r="936" spans="1:16" x14ac:dyDescent="0.3">
      <c r="A936" s="2" t="s">
        <v>5768</v>
      </c>
      <c r="B936" s="3">
        <v>44409</v>
      </c>
      <c r="C936" s="2" t="s">
        <v>5769</v>
      </c>
      <c r="D936" t="s">
        <v>6151</v>
      </c>
      <c r="E936" s="2">
        <v>5</v>
      </c>
      <c r="F936" s="2" t="str">
        <f>_xlfn.XLOOKUP(C936,Customers!$A$2:$A$1001,Customers!$B$2:$B$1001,0)</f>
        <v>Read Cutts</v>
      </c>
      <c r="G936" s="2" t="str">
        <f>IF(_xlfn.XLOOKUP(C936,Customers!$A$2:$A$1001,Customers!$C$2:$C$1001)=0,"",_xlfn.XLOOKUP(C936,Customers!$A$2:$A$1001,Customers!$C$2:$C$1001))</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_xlfn.XLOOKUP(Orders[[#This Row],[Customer ID]],Customers!$A$2:$A$1001,Customers!$I$2:$I$1001,0)</f>
        <v>No</v>
      </c>
    </row>
    <row r="937" spans="1:16" x14ac:dyDescent="0.3">
      <c r="A937" s="2" t="s">
        <v>5774</v>
      </c>
      <c r="B937" s="3">
        <v>44153</v>
      </c>
      <c r="C937" s="2" t="s">
        <v>5775</v>
      </c>
      <c r="D937" t="s">
        <v>6175</v>
      </c>
      <c r="E937" s="2">
        <v>6</v>
      </c>
      <c r="F937" s="2" t="str">
        <f>_xlfn.XLOOKUP(C937,Customers!$A$2:$A$1001,Customers!$B$2:$B$1001,0)</f>
        <v>Michale Delves</v>
      </c>
      <c r="G937" s="2" t="str">
        <f>IF(_xlfn.XLOOKUP(C937,Customers!$A$2:$A$1001,Customers!$C$2:$C$1001)=0,"",_xlfn.XLOOKUP(C937,Customers!$A$2:$A$1001,Customers!$C$2:$C$1001))</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_xlfn.XLOOKUP(Orders[[#This Row],[Customer ID]],Customers!$A$2:$A$1001,Customers!$I$2:$I$1001,0)</f>
        <v>Yes</v>
      </c>
    </row>
    <row r="938" spans="1:16" x14ac:dyDescent="0.3">
      <c r="A938" s="2" t="s">
        <v>5780</v>
      </c>
      <c r="B938" s="3">
        <v>44493</v>
      </c>
      <c r="C938" s="2" t="s">
        <v>5781</v>
      </c>
      <c r="D938" t="s">
        <v>6169</v>
      </c>
      <c r="E938" s="2">
        <v>3</v>
      </c>
      <c r="F938" s="2" t="str">
        <f>_xlfn.XLOOKUP(C938,Customers!$A$2:$A$1001,Customers!$B$2:$B$1001,0)</f>
        <v>Devland Gritton</v>
      </c>
      <c r="G938" s="2" t="str">
        <f>IF(_xlfn.XLOOKUP(C938,Customers!$A$2:$A$1001,Customers!$C$2:$C$1001)=0,"",_xlfn.XLOOKUP(C938,Customers!$A$2:$A$1001,Customers!$C$2:$C$1001))</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_xlfn.XLOOKUP(Orders[[#This Row],[Customer ID]],Customers!$A$2:$A$1001,Customers!$I$2:$I$1001,0)</f>
        <v>Yes</v>
      </c>
    </row>
    <row r="939" spans="1:16" x14ac:dyDescent="0.3">
      <c r="A939" s="2" t="s">
        <v>5780</v>
      </c>
      <c r="B939" s="3">
        <v>44493</v>
      </c>
      <c r="C939" s="2" t="s">
        <v>5781</v>
      </c>
      <c r="D939" t="s">
        <v>6151</v>
      </c>
      <c r="E939" s="2">
        <v>4</v>
      </c>
      <c r="F939" s="2" t="str">
        <f>_xlfn.XLOOKUP(C939,Customers!$A$2:$A$1001,Customers!$B$2:$B$1001,0)</f>
        <v>Devland Gritton</v>
      </c>
      <c r="G939" s="2" t="str">
        <f>IF(_xlfn.XLOOKUP(C939,Customers!$A$2:$A$1001,Customers!$C$2:$C$1001)=0,"",_xlfn.XLOOKUP(C939,Customers!$A$2:$A$1001,Customers!$C$2:$C$1001))</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_xlfn.XLOOKUP(Orders[[#This Row],[Customer ID]],Customers!$A$2:$A$1001,Customers!$I$2:$I$1001,0)</f>
        <v>Yes</v>
      </c>
    </row>
    <row r="940" spans="1:16" x14ac:dyDescent="0.3">
      <c r="A940" s="2" t="s">
        <v>5791</v>
      </c>
      <c r="B940" s="3">
        <v>43829</v>
      </c>
      <c r="C940" s="2" t="s">
        <v>5792</v>
      </c>
      <c r="D940" t="s">
        <v>6171</v>
      </c>
      <c r="E940" s="2">
        <v>5</v>
      </c>
      <c r="F940" s="2" t="str">
        <f>_xlfn.XLOOKUP(C940,Customers!$A$2:$A$1001,Customers!$B$2:$B$1001,0)</f>
        <v>Dell Gut</v>
      </c>
      <c r="G940" s="2" t="str">
        <f>IF(_xlfn.XLOOKUP(C940,Customers!$A$2:$A$1001,Customers!$C$2:$C$1001)=0,"",_xlfn.XLOOKUP(C940,Customers!$A$2:$A$1001,Customers!$C$2:$C$1001))</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_xlfn.XLOOKUP(Orders[[#This Row],[Customer ID]],Customers!$A$2:$A$1001,Customers!$I$2:$I$1001,0)</f>
        <v>Yes</v>
      </c>
    </row>
    <row r="941" spans="1:16" x14ac:dyDescent="0.3">
      <c r="A941" s="2" t="s">
        <v>5797</v>
      </c>
      <c r="B941" s="3">
        <v>44229</v>
      </c>
      <c r="C941" s="2" t="s">
        <v>5798</v>
      </c>
      <c r="D941" t="s">
        <v>6145</v>
      </c>
      <c r="E941" s="2">
        <v>6</v>
      </c>
      <c r="F941" s="2" t="str">
        <f>_xlfn.XLOOKUP(C941,Customers!$A$2:$A$1001,Customers!$B$2:$B$1001,0)</f>
        <v>Willy Pummery</v>
      </c>
      <c r="G941" s="2" t="str">
        <f>IF(_xlfn.XLOOKUP(C941,Customers!$A$2:$A$1001,Customers!$C$2:$C$1001)=0,"",_xlfn.XLOOKUP(C941,Customers!$A$2:$A$1001,Customers!$C$2:$C$1001))</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_xlfn.XLOOKUP(Orders[[#This Row],[Customer ID]],Customers!$A$2:$A$1001,Customers!$I$2:$I$1001,0)</f>
        <v>No</v>
      </c>
    </row>
    <row r="942" spans="1:16" x14ac:dyDescent="0.3">
      <c r="A942" s="2" t="s">
        <v>5803</v>
      </c>
      <c r="B942" s="3">
        <v>44332</v>
      </c>
      <c r="C942" s="2" t="s">
        <v>5804</v>
      </c>
      <c r="D942" t="s">
        <v>6173</v>
      </c>
      <c r="E942" s="2">
        <v>2</v>
      </c>
      <c r="F942" s="2" t="str">
        <f>_xlfn.XLOOKUP(C942,Customers!$A$2:$A$1001,Customers!$B$2:$B$1001,0)</f>
        <v>Geoffrey Siuda</v>
      </c>
      <c r="G942" s="2" t="str">
        <f>IF(_xlfn.XLOOKUP(C942,Customers!$A$2:$A$1001,Customers!$C$2:$C$1001)=0,"",_xlfn.XLOOKUP(C942,Customers!$A$2:$A$1001,Customers!$C$2:$C$1001))</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_xlfn.XLOOKUP(Orders[[#This Row],[Customer ID]],Customers!$A$2:$A$1001,Customers!$I$2:$I$1001,0)</f>
        <v>Yes</v>
      </c>
    </row>
    <row r="943" spans="1:16" x14ac:dyDescent="0.3">
      <c r="A943" s="2" t="s">
        <v>5809</v>
      </c>
      <c r="B943" s="3">
        <v>44674</v>
      </c>
      <c r="C943" s="2" t="s">
        <v>5810</v>
      </c>
      <c r="D943" t="s">
        <v>6180</v>
      </c>
      <c r="E943" s="2">
        <v>2</v>
      </c>
      <c r="F943" s="2" t="str">
        <f>_xlfn.XLOOKUP(C943,Customers!$A$2:$A$1001,Customers!$B$2:$B$1001,0)</f>
        <v>Henderson Crowne</v>
      </c>
      <c r="G943" s="2" t="str">
        <f>IF(_xlfn.XLOOKUP(C943,Customers!$A$2:$A$1001,Customers!$C$2:$C$1001)=0,"",_xlfn.XLOOKUP(C943,Customers!$A$2:$A$1001,Customers!$C$2:$C$1001))</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_xlfn.XLOOKUP(Orders[[#This Row],[Customer ID]],Customers!$A$2:$A$1001,Customers!$I$2:$I$1001,0)</f>
        <v>Yes</v>
      </c>
    </row>
    <row r="944" spans="1:16" x14ac:dyDescent="0.3">
      <c r="A944" s="2" t="s">
        <v>5816</v>
      </c>
      <c r="B944" s="3">
        <v>44464</v>
      </c>
      <c r="C944" s="2" t="s">
        <v>5817</v>
      </c>
      <c r="D944" t="s">
        <v>6179</v>
      </c>
      <c r="E944" s="2">
        <v>3</v>
      </c>
      <c r="F944" s="2" t="str">
        <f>_xlfn.XLOOKUP(C944,Customers!$A$2:$A$1001,Customers!$B$2:$B$1001,0)</f>
        <v>Vernor Pawsey</v>
      </c>
      <c r="G944" s="2" t="str">
        <f>IF(_xlfn.XLOOKUP(C944,Customers!$A$2:$A$1001,Customers!$C$2:$C$1001)=0,"",_xlfn.XLOOKUP(C944,Customers!$A$2:$A$1001,Customers!$C$2:$C$1001))</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_xlfn.XLOOKUP(Orders[[#This Row],[Customer ID]],Customers!$A$2:$A$1001,Customers!$I$2:$I$1001,0)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IF(_xlfn.XLOOKUP(C945,Customers!$A$2:$A$1001,Customers!$C$2:$C$1001)=0,"",_xlfn.XLOOKUP(C945,Customers!$A$2:$A$1001,Customers!$C$2:$C$1001))</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_xlfn.XLOOKUP(Orders[[#This Row],[Customer ID]],Customers!$A$2:$A$1001,Customers!$I$2:$I$1001,0)</f>
        <v>No</v>
      </c>
    </row>
    <row r="946" spans="1:16" x14ac:dyDescent="0.3">
      <c r="A946" s="2" t="s">
        <v>5828</v>
      </c>
      <c r="B946" s="3">
        <v>44054</v>
      </c>
      <c r="C946" s="2" t="s">
        <v>5829</v>
      </c>
      <c r="D946" t="s">
        <v>6173</v>
      </c>
      <c r="E946" s="2">
        <v>5</v>
      </c>
      <c r="F946" s="2" t="str">
        <f>_xlfn.XLOOKUP(C946,Customers!$A$2:$A$1001,Customers!$B$2:$B$1001,0)</f>
        <v>Fanchon Haughian</v>
      </c>
      <c r="G946" s="2" t="str">
        <f>IF(_xlfn.XLOOKUP(C946,Customers!$A$2:$A$1001,Customers!$C$2:$C$1001)=0,"",_xlfn.XLOOKUP(C946,Customers!$A$2:$A$1001,Customers!$C$2:$C$1001))</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_xlfn.XLOOKUP(Orders[[#This Row],[Customer ID]],Customers!$A$2:$A$1001,Customers!$I$2:$I$1001,0)</f>
        <v>No</v>
      </c>
    </row>
    <row r="947" spans="1:16" x14ac:dyDescent="0.3">
      <c r="A947" s="2" t="s">
        <v>5834</v>
      </c>
      <c r="B947" s="3">
        <v>43524</v>
      </c>
      <c r="C947" s="2" t="s">
        <v>5835</v>
      </c>
      <c r="D947" t="s">
        <v>6165</v>
      </c>
      <c r="E947" s="2">
        <v>4</v>
      </c>
      <c r="F947" s="2" t="str">
        <f>_xlfn.XLOOKUP(C947,Customers!$A$2:$A$1001,Customers!$B$2:$B$1001,0)</f>
        <v>Jaimie Hatz</v>
      </c>
      <c r="G947" s="2" t="str">
        <f>IF(_xlfn.XLOOKUP(C947,Customers!$A$2:$A$1001,Customers!$C$2:$C$1001)=0,"",_xlfn.XLOOKUP(C947,Customers!$A$2:$A$1001,Customers!$C$2:$C$1001))</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_xlfn.XLOOKUP(Orders[[#This Row],[Customer ID]],Customers!$A$2:$A$1001,Customers!$I$2:$I$1001,0)</f>
        <v>No</v>
      </c>
    </row>
    <row r="948" spans="1:16" x14ac:dyDescent="0.3">
      <c r="A948" s="2" t="s">
        <v>5839</v>
      </c>
      <c r="B948" s="3">
        <v>43719</v>
      </c>
      <c r="C948" s="2" t="s">
        <v>5840</v>
      </c>
      <c r="D948" t="s">
        <v>6169</v>
      </c>
      <c r="E948" s="2">
        <v>3</v>
      </c>
      <c r="F948" s="2" t="str">
        <f>_xlfn.XLOOKUP(C948,Customers!$A$2:$A$1001,Customers!$B$2:$B$1001,0)</f>
        <v>Edeline Edney</v>
      </c>
      <c r="G948" s="2" t="str">
        <f>IF(_xlfn.XLOOKUP(C948,Customers!$A$2:$A$1001,Customers!$C$2:$C$1001)=0,"",_xlfn.XLOOKUP(C948,Customers!$A$2:$A$1001,Customers!$C$2:$C$1001))</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_xlfn.XLOOKUP(Orders[[#This Row],[Customer ID]],Customers!$A$2:$A$1001,Customers!$I$2:$I$1001,0)</f>
        <v>No</v>
      </c>
    </row>
    <row r="949" spans="1:16" x14ac:dyDescent="0.3">
      <c r="A949" s="2" t="s">
        <v>5844</v>
      </c>
      <c r="B949" s="3">
        <v>44294</v>
      </c>
      <c r="C949" s="2" t="s">
        <v>5845</v>
      </c>
      <c r="D949" t="s">
        <v>6155</v>
      </c>
      <c r="E949" s="2">
        <v>1</v>
      </c>
      <c r="F949" s="2" t="str">
        <f>_xlfn.XLOOKUP(C949,Customers!$A$2:$A$1001,Customers!$B$2:$B$1001,0)</f>
        <v>Rickie Faltin</v>
      </c>
      <c r="G949" s="2" t="str">
        <f>IF(_xlfn.XLOOKUP(C949,Customers!$A$2:$A$1001,Customers!$C$2:$C$1001)=0,"",_xlfn.XLOOKUP(C949,Customers!$A$2:$A$1001,Customers!$C$2:$C$1001))</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_xlfn.XLOOKUP(Orders[[#This Row],[Customer ID]],Customers!$A$2:$A$1001,Customers!$I$2:$I$1001,0)</f>
        <v>No</v>
      </c>
    </row>
    <row r="950" spans="1:16" x14ac:dyDescent="0.3">
      <c r="A950" s="2" t="s">
        <v>5849</v>
      </c>
      <c r="B950" s="3">
        <v>44445</v>
      </c>
      <c r="C950" s="2" t="s">
        <v>5850</v>
      </c>
      <c r="D950" t="s">
        <v>6185</v>
      </c>
      <c r="E950" s="2">
        <v>3</v>
      </c>
      <c r="F950" s="2" t="str">
        <f>_xlfn.XLOOKUP(C950,Customers!$A$2:$A$1001,Customers!$B$2:$B$1001,0)</f>
        <v>Gnni Cheeke</v>
      </c>
      <c r="G950" s="2" t="str">
        <f>IF(_xlfn.XLOOKUP(C950,Customers!$A$2:$A$1001,Customers!$C$2:$C$1001)=0,"",_xlfn.XLOOKUP(C950,Customers!$A$2:$A$1001,Customers!$C$2:$C$1001))</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_xlfn.XLOOKUP(Orders[[#This Row],[Customer ID]],Customers!$A$2:$A$1001,Customers!$I$2:$I$1001,0)</f>
        <v>Yes</v>
      </c>
    </row>
    <row r="951" spans="1:16" x14ac:dyDescent="0.3">
      <c r="A951" s="2" t="s">
        <v>5855</v>
      </c>
      <c r="B951" s="3">
        <v>44449</v>
      </c>
      <c r="C951" s="2" t="s">
        <v>5856</v>
      </c>
      <c r="D951" t="s">
        <v>6142</v>
      </c>
      <c r="E951" s="2">
        <v>4</v>
      </c>
      <c r="F951" s="2" t="str">
        <f>_xlfn.XLOOKUP(C951,Customers!$A$2:$A$1001,Customers!$B$2:$B$1001,0)</f>
        <v>Gwenni Ratt</v>
      </c>
      <c r="G951" s="2" t="str">
        <f>IF(_xlfn.XLOOKUP(C951,Customers!$A$2:$A$1001,Customers!$C$2:$C$1001)=0,"",_xlfn.XLOOKUP(C951,Customers!$A$2:$A$1001,Customers!$C$2:$C$1001))</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_xlfn.XLOOKUP(Orders[[#This Row],[Customer ID]],Customers!$A$2:$A$1001,Customers!$I$2:$I$1001,0)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IF(_xlfn.XLOOKUP(C952,Customers!$A$2:$A$1001,Customers!$C$2:$C$1001)=0,"",_xlfn.XLOOKUP(C952,Customers!$A$2:$A$1001,Customers!$C$2:$C$1001))</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_xlfn.XLOOKUP(Orders[[#This Row],[Customer ID]],Customers!$A$2:$A$1001,Customers!$I$2:$I$1001,0)</f>
        <v>Yes</v>
      </c>
    </row>
    <row r="953" spans="1:16" x14ac:dyDescent="0.3">
      <c r="A953" s="2" t="s">
        <v>5866</v>
      </c>
      <c r="B953" s="3">
        <v>44092</v>
      </c>
      <c r="C953" s="2" t="s">
        <v>5867</v>
      </c>
      <c r="D953" t="s">
        <v>6178</v>
      </c>
      <c r="E953" s="2">
        <v>6</v>
      </c>
      <c r="F953" s="2" t="str">
        <f>_xlfn.XLOOKUP(C953,Customers!$A$2:$A$1001,Customers!$B$2:$B$1001,0)</f>
        <v>Ingamar Eberlein</v>
      </c>
      <c r="G953" s="2" t="str">
        <f>IF(_xlfn.XLOOKUP(C953,Customers!$A$2:$A$1001,Customers!$C$2:$C$1001)=0,"",_xlfn.XLOOKUP(C953,Customers!$A$2:$A$1001,Customers!$C$2:$C$1001))</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_xlfn.XLOOKUP(Orders[[#This Row],[Customer ID]],Customers!$A$2:$A$1001,Customers!$I$2:$I$1001,0)</f>
        <v>No</v>
      </c>
    </row>
    <row r="954" spans="1:16" x14ac:dyDescent="0.3">
      <c r="A954" s="2" t="s">
        <v>5872</v>
      </c>
      <c r="B954" s="3">
        <v>44439</v>
      </c>
      <c r="C954" s="2" t="s">
        <v>5873</v>
      </c>
      <c r="D954" t="s">
        <v>6155</v>
      </c>
      <c r="E954" s="2">
        <v>2</v>
      </c>
      <c r="F954" s="2" t="str">
        <f>_xlfn.XLOOKUP(C954,Customers!$A$2:$A$1001,Customers!$B$2:$B$1001,0)</f>
        <v>Jilly Dreng</v>
      </c>
      <c r="G954" s="2" t="str">
        <f>IF(_xlfn.XLOOKUP(C954,Customers!$A$2:$A$1001,Customers!$C$2:$C$1001)=0,"",_xlfn.XLOOKUP(C954,Customers!$A$2:$A$1001,Customers!$C$2:$C$1001))</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_xlfn.XLOOKUP(Orders[[#This Row],[Customer ID]],Customers!$A$2:$A$1001,Customers!$I$2:$I$1001,0)</f>
        <v>Yes</v>
      </c>
    </row>
    <row r="955" spans="1:16" x14ac:dyDescent="0.3">
      <c r="A955" s="2" t="s">
        <v>5878</v>
      </c>
      <c r="B955" s="3">
        <v>44582</v>
      </c>
      <c r="C955" s="2" t="s">
        <v>5764</v>
      </c>
      <c r="D955" t="s">
        <v>6167</v>
      </c>
      <c r="E955" s="2">
        <v>1</v>
      </c>
      <c r="F955" s="2" t="str">
        <f>_xlfn.XLOOKUP(C955,Customers!$A$2:$A$1001,Customers!$B$2:$B$1001,0)</f>
        <v>Brenn Dundredge</v>
      </c>
      <c r="G955" s="2" t="str">
        <f>IF(_xlfn.XLOOKUP(C955,Customers!$A$2:$A$1001,Customers!$C$2:$C$1001)=0,"",_xlfn.XLOOKUP(C955,Customers!$A$2:$A$1001,Customers!$C$2:$C$1001))</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_xlfn.XLOOKUP(Orders[[#This Row],[Customer ID]],Customers!$A$2:$A$1001,Customers!$I$2:$I$1001,0)</f>
        <v>Yes</v>
      </c>
    </row>
    <row r="956" spans="1:16" x14ac:dyDescent="0.3">
      <c r="A956" s="2" t="s">
        <v>5884</v>
      </c>
      <c r="B956" s="3">
        <v>44722</v>
      </c>
      <c r="C956" s="2" t="s">
        <v>5764</v>
      </c>
      <c r="D956" t="s">
        <v>6185</v>
      </c>
      <c r="E956" s="2">
        <v>1</v>
      </c>
      <c r="F956" s="2" t="str">
        <f>_xlfn.XLOOKUP(C956,Customers!$A$2:$A$1001,Customers!$B$2:$B$1001,0)</f>
        <v>Brenn Dundredge</v>
      </c>
      <c r="G956" s="2" t="str">
        <f>IF(_xlfn.XLOOKUP(C956,Customers!$A$2:$A$1001,Customers!$C$2:$C$1001)=0,"",_xlfn.XLOOKUP(C956,Customers!$A$2:$A$1001,Customers!$C$2:$C$1001))</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_xlfn.XLOOKUP(Orders[[#This Row],[Customer ID]],Customers!$A$2:$A$1001,Customers!$I$2:$I$1001,0)</f>
        <v>Yes</v>
      </c>
    </row>
    <row r="957" spans="1:16" x14ac:dyDescent="0.3">
      <c r="A957" s="2" t="s">
        <v>5890</v>
      </c>
      <c r="B957" s="3">
        <v>43582</v>
      </c>
      <c r="C957" s="2" t="s">
        <v>5764</v>
      </c>
      <c r="D957" t="s">
        <v>6148</v>
      </c>
      <c r="E957" s="2">
        <v>5</v>
      </c>
      <c r="F957" s="2" t="str">
        <f>_xlfn.XLOOKUP(C957,Customers!$A$2:$A$1001,Customers!$B$2:$B$1001,0)</f>
        <v>Brenn Dundredge</v>
      </c>
      <c r="G957" s="2" t="str">
        <f>IF(_xlfn.XLOOKUP(C957,Customers!$A$2:$A$1001,Customers!$C$2:$C$1001)=0,"",_xlfn.XLOOKUP(C957,Customers!$A$2:$A$1001,Customers!$C$2:$C$1001))</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_xlfn.XLOOKUP(Orders[[#This Row],[Customer ID]],Customers!$A$2:$A$1001,Customers!$I$2:$I$1001,0)</f>
        <v>Yes</v>
      </c>
    </row>
    <row r="958" spans="1:16" x14ac:dyDescent="0.3">
      <c r="A958" s="2" t="s">
        <v>5890</v>
      </c>
      <c r="B958" s="3">
        <v>43582</v>
      </c>
      <c r="C958" s="2" t="s">
        <v>5764</v>
      </c>
      <c r="D958" t="s">
        <v>6142</v>
      </c>
      <c r="E958" s="2">
        <v>2</v>
      </c>
      <c r="F958" s="2" t="str">
        <f>_xlfn.XLOOKUP(C958,Customers!$A$2:$A$1001,Customers!$B$2:$B$1001,0)</f>
        <v>Brenn Dundredge</v>
      </c>
      <c r="G958" s="2" t="str">
        <f>IF(_xlfn.XLOOKUP(C958,Customers!$A$2:$A$1001,Customers!$C$2:$C$1001)=0,"",_xlfn.XLOOKUP(C958,Customers!$A$2:$A$1001,Customers!$C$2:$C$1001))</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_xlfn.XLOOKUP(Orders[[#This Row],[Customer ID]],Customers!$A$2:$A$1001,Customers!$I$2:$I$1001,0)</f>
        <v>Yes</v>
      </c>
    </row>
    <row r="959" spans="1:16" x14ac:dyDescent="0.3">
      <c r="A959" s="2" t="s">
        <v>5890</v>
      </c>
      <c r="B959" s="3">
        <v>43582</v>
      </c>
      <c r="C959" s="2" t="s">
        <v>5764</v>
      </c>
      <c r="D959" t="s">
        <v>6171</v>
      </c>
      <c r="E959" s="2">
        <v>1</v>
      </c>
      <c r="F959" s="2" t="str">
        <f>_xlfn.XLOOKUP(C959,Customers!$A$2:$A$1001,Customers!$B$2:$B$1001,0)</f>
        <v>Brenn Dundredge</v>
      </c>
      <c r="G959" s="2" t="str">
        <f>IF(_xlfn.XLOOKUP(C959,Customers!$A$2:$A$1001,Customers!$C$2:$C$1001)=0,"",_xlfn.XLOOKUP(C959,Customers!$A$2:$A$1001,Customers!$C$2:$C$1001))</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_xlfn.XLOOKUP(Orders[[#This Row],[Customer ID]],Customers!$A$2:$A$1001,Customers!$I$2:$I$1001,0)</f>
        <v>Yes</v>
      </c>
    </row>
    <row r="960" spans="1:16" x14ac:dyDescent="0.3">
      <c r="A960" s="2" t="s">
        <v>5890</v>
      </c>
      <c r="B960" s="3">
        <v>43582</v>
      </c>
      <c r="C960" s="2" t="s">
        <v>5764</v>
      </c>
      <c r="D960" t="s">
        <v>6167</v>
      </c>
      <c r="E960" s="2">
        <v>2</v>
      </c>
      <c r="F960" s="2" t="str">
        <f>_xlfn.XLOOKUP(C960,Customers!$A$2:$A$1001,Customers!$B$2:$B$1001,0)</f>
        <v>Brenn Dundredge</v>
      </c>
      <c r="G960" s="2" t="str">
        <f>IF(_xlfn.XLOOKUP(C960,Customers!$A$2:$A$1001,Customers!$C$2:$C$1001)=0,"",_xlfn.XLOOKUP(C960,Customers!$A$2:$A$1001,Customers!$C$2:$C$1001))</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_xlfn.XLOOKUP(Orders[[#This Row],[Customer ID]],Customers!$A$2:$A$1001,Customers!$I$2:$I$1001,0)</f>
        <v>Yes</v>
      </c>
    </row>
    <row r="961" spans="1:16" x14ac:dyDescent="0.3">
      <c r="A961" s="2" t="s">
        <v>5910</v>
      </c>
      <c r="B961" s="3">
        <v>44598</v>
      </c>
      <c r="C961" s="2" t="s">
        <v>5911</v>
      </c>
      <c r="D961" t="s">
        <v>6145</v>
      </c>
      <c r="E961" s="2">
        <v>5</v>
      </c>
      <c r="F961" s="2" t="str">
        <f>_xlfn.XLOOKUP(C961,Customers!$A$2:$A$1001,Customers!$B$2:$B$1001,0)</f>
        <v>Rhodie Strathern</v>
      </c>
      <c r="G961" s="2" t="str">
        <f>IF(_xlfn.XLOOKUP(C961,Customers!$A$2:$A$1001,Customers!$C$2:$C$1001)=0,"",_xlfn.XLOOKUP(C961,Customers!$A$2:$A$1001,Customers!$C$2:$C$1001))</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_xlfn.XLOOKUP(Orders[[#This Row],[Customer ID]],Customers!$A$2:$A$1001,Customers!$I$2:$I$1001,0)</f>
        <v>Yes</v>
      </c>
    </row>
    <row r="962" spans="1:16" x14ac:dyDescent="0.3">
      <c r="A962" s="2" t="s">
        <v>5915</v>
      </c>
      <c r="B962" s="3">
        <v>44591</v>
      </c>
      <c r="C962" s="2" t="s">
        <v>5916</v>
      </c>
      <c r="D962" t="s">
        <v>6170</v>
      </c>
      <c r="E962" s="2">
        <v>5</v>
      </c>
      <c r="F962" s="2" t="str">
        <f>_xlfn.XLOOKUP(C962,Customers!$A$2:$A$1001,Customers!$B$2:$B$1001,0)</f>
        <v>Chad Miguel</v>
      </c>
      <c r="G962" s="2" t="str">
        <f>IF(_xlfn.XLOOKUP(C962,Customers!$A$2:$A$1001,Customers!$C$2:$C$1001)=0,"",_xlfn.XLOOKUP(C962,Customers!$A$2:$A$1001,Customers!$C$2:$C$1001))</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ref="M962:M1025" si="45">L962*E962</f>
        <v>79.25</v>
      </c>
      <c r="N962" t="str">
        <f t="shared" ref="N962:N1001" si="46">IF(I962="Rob","Robusta",IF(I962="Exc","Excelsa",IF(I962="Ara","Arabica",IF(I962="Lib","Liberica",""))))</f>
        <v>Liberica</v>
      </c>
      <c r="O962" t="str">
        <f t="shared" ref="O962:O1001" si="47">IF(J962="M","Medium",IF(J962="L","Light",IF(J962="D","Dark","")))</f>
        <v>Light</v>
      </c>
      <c r="P962" t="str">
        <f>_xlfn.XLOOKUP(Orders[[#This Row],[Customer ID]],Customers!$A$2:$A$1001,Customers!$I$2:$I$1001,0)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IF(_xlfn.XLOOKUP(C963,Customers!$A$2:$A$1001,Customers!$C$2:$C$1001)=0,"",_xlfn.XLOOKUP(C963,Customers!$A$2:$A$1001,Customers!$C$2:$C$1001))</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si="45"/>
        <v>45.769999999999996</v>
      </c>
      <c r="N963" t="str">
        <f t="shared" si="46"/>
        <v>Arabica</v>
      </c>
      <c r="O963" t="str">
        <f t="shared" si="47"/>
        <v>Dark</v>
      </c>
      <c r="P963" t="str">
        <f>_xlfn.XLOOKUP(Orders[[#This Row],[Customer ID]],Customers!$A$2:$A$1001,Customers!$I$2:$I$1001,0)</f>
        <v>Yes</v>
      </c>
    </row>
    <row r="964" spans="1:16" x14ac:dyDescent="0.3">
      <c r="A964" s="2" t="s">
        <v>5926</v>
      </c>
      <c r="B964" s="3">
        <v>44664</v>
      </c>
      <c r="C964" s="2" t="s">
        <v>5927</v>
      </c>
      <c r="D964" t="s">
        <v>6177</v>
      </c>
      <c r="E964" s="2">
        <v>1</v>
      </c>
      <c r="F964" s="2" t="str">
        <f>_xlfn.XLOOKUP(C964,Customers!$A$2:$A$1001,Customers!$B$2:$B$1001,0)</f>
        <v>Morly Rocks</v>
      </c>
      <c r="G964" s="2" t="str">
        <f>IF(_xlfn.XLOOKUP(C964,Customers!$A$2:$A$1001,Customers!$C$2:$C$1001)=0,"",_xlfn.XLOOKUP(C964,Customers!$A$2:$A$1001,Customers!$C$2:$C$1001))</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_xlfn.XLOOKUP(Orders[[#This Row],[Customer ID]],Customers!$A$2:$A$1001,Customers!$I$2:$I$1001,0)</f>
        <v>Yes</v>
      </c>
    </row>
    <row r="965" spans="1:16" x14ac:dyDescent="0.3">
      <c r="A965" s="2" t="s">
        <v>5932</v>
      </c>
      <c r="B965" s="3">
        <v>44203</v>
      </c>
      <c r="C965" s="2" t="s">
        <v>5933</v>
      </c>
      <c r="D965" t="s">
        <v>6146</v>
      </c>
      <c r="E965" s="2">
        <v>4</v>
      </c>
      <c r="F965" s="2" t="str">
        <f>_xlfn.XLOOKUP(C965,Customers!$A$2:$A$1001,Customers!$B$2:$B$1001,0)</f>
        <v>Yuri Burrells</v>
      </c>
      <c r="G965" s="2" t="str">
        <f>IF(_xlfn.XLOOKUP(C965,Customers!$A$2:$A$1001,Customers!$C$2:$C$1001)=0,"",_xlfn.XLOOKUP(C965,Customers!$A$2:$A$1001,Customers!$C$2:$C$1001))</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_xlfn.XLOOKUP(Orders[[#This Row],[Customer ID]],Customers!$A$2:$A$1001,Customers!$I$2:$I$1001,0)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IF(_xlfn.XLOOKUP(C966,Customers!$A$2:$A$1001,Customers!$C$2:$C$1001)=0,"",_xlfn.XLOOKUP(C966,Customers!$A$2:$A$1001,Customers!$C$2:$C$1001))</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_xlfn.XLOOKUP(Orders[[#This Row],[Customer ID]],Customers!$A$2:$A$1001,Customers!$I$2:$I$1001,0)</f>
        <v>No</v>
      </c>
    </row>
    <row r="967" spans="1:16" x14ac:dyDescent="0.3">
      <c r="A967" s="2" t="s">
        <v>5944</v>
      </c>
      <c r="B967" s="3">
        <v>43724</v>
      </c>
      <c r="C967" s="2" t="s">
        <v>5945</v>
      </c>
      <c r="D967" t="s">
        <v>6138</v>
      </c>
      <c r="E967" s="2">
        <v>3</v>
      </c>
      <c r="F967" s="2" t="str">
        <f>_xlfn.XLOOKUP(C967,Customers!$A$2:$A$1001,Customers!$B$2:$B$1001,0)</f>
        <v>Joey Jefferys</v>
      </c>
      <c r="G967" s="2" t="str">
        <f>IF(_xlfn.XLOOKUP(C967,Customers!$A$2:$A$1001,Customers!$C$2:$C$1001)=0,"",_xlfn.XLOOKUP(C967,Customers!$A$2:$A$1001,Customers!$C$2:$C$1001))</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_xlfn.XLOOKUP(Orders[[#This Row],[Customer ID]],Customers!$A$2:$A$1001,Customers!$I$2:$I$1001,0)</f>
        <v>Yes</v>
      </c>
    </row>
    <row r="968" spans="1:16" x14ac:dyDescent="0.3">
      <c r="A968" s="2" t="s">
        <v>5949</v>
      </c>
      <c r="B968" s="3">
        <v>43491</v>
      </c>
      <c r="C968" s="2" t="s">
        <v>5950</v>
      </c>
      <c r="D968" t="s">
        <v>6176</v>
      </c>
      <c r="E968" s="2">
        <v>6</v>
      </c>
      <c r="F968" s="2" t="str">
        <f>_xlfn.XLOOKUP(C968,Customers!$A$2:$A$1001,Customers!$B$2:$B$1001,0)</f>
        <v>Bearnard Wardell</v>
      </c>
      <c r="G968" s="2" t="str">
        <f>IF(_xlfn.XLOOKUP(C968,Customers!$A$2:$A$1001,Customers!$C$2:$C$1001)=0,"",_xlfn.XLOOKUP(C968,Customers!$A$2:$A$1001,Customers!$C$2:$C$1001))</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_xlfn.XLOOKUP(Orders[[#This Row],[Customer ID]],Customers!$A$2:$A$1001,Customers!$I$2:$I$1001,0)</f>
        <v>Yes</v>
      </c>
    </row>
    <row r="969" spans="1:16" x14ac:dyDescent="0.3">
      <c r="A969" s="2" t="s">
        <v>5955</v>
      </c>
      <c r="B969" s="3">
        <v>44246</v>
      </c>
      <c r="C969" s="2" t="s">
        <v>5956</v>
      </c>
      <c r="D969" t="s">
        <v>6163</v>
      </c>
      <c r="E969" s="2">
        <v>1</v>
      </c>
      <c r="F969" s="2" t="str">
        <f>_xlfn.XLOOKUP(C969,Customers!$A$2:$A$1001,Customers!$B$2:$B$1001,0)</f>
        <v>Zeke Walisiak</v>
      </c>
      <c r="G969" s="2" t="str">
        <f>IF(_xlfn.XLOOKUP(C969,Customers!$A$2:$A$1001,Customers!$C$2:$C$1001)=0,"",_xlfn.XLOOKUP(C969,Customers!$A$2:$A$1001,Customers!$C$2:$C$1001))</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_xlfn.XLOOKUP(Orders[[#This Row],[Customer ID]],Customers!$A$2:$A$1001,Customers!$I$2:$I$1001,0)</f>
        <v>Yes</v>
      </c>
    </row>
    <row r="970" spans="1:16" x14ac:dyDescent="0.3">
      <c r="A970" s="2" t="s">
        <v>5961</v>
      </c>
      <c r="B970" s="3">
        <v>44642</v>
      </c>
      <c r="C970" s="2" t="s">
        <v>5962</v>
      </c>
      <c r="D970" t="s">
        <v>6174</v>
      </c>
      <c r="E970" s="2">
        <v>2</v>
      </c>
      <c r="F970" s="2" t="str">
        <f>_xlfn.XLOOKUP(C970,Customers!$A$2:$A$1001,Customers!$B$2:$B$1001,0)</f>
        <v>Wiley Leopold</v>
      </c>
      <c r="G970" s="2" t="str">
        <f>IF(_xlfn.XLOOKUP(C970,Customers!$A$2:$A$1001,Customers!$C$2:$C$1001)=0,"",_xlfn.XLOOKUP(C970,Customers!$A$2:$A$1001,Customers!$C$2:$C$1001))</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_xlfn.XLOOKUP(Orders[[#This Row],[Customer ID]],Customers!$A$2:$A$1001,Customers!$I$2:$I$1001,0)</f>
        <v>No</v>
      </c>
    </row>
    <row r="971" spans="1:16" x14ac:dyDescent="0.3">
      <c r="A971" s="2" t="s">
        <v>5967</v>
      </c>
      <c r="B971" s="3">
        <v>43649</v>
      </c>
      <c r="C971" s="2" t="s">
        <v>5968</v>
      </c>
      <c r="D971" t="s">
        <v>6143</v>
      </c>
      <c r="E971" s="2">
        <v>1</v>
      </c>
      <c r="F971" s="2" t="str">
        <f>_xlfn.XLOOKUP(C971,Customers!$A$2:$A$1001,Customers!$B$2:$B$1001,0)</f>
        <v>Chiarra Shalders</v>
      </c>
      <c r="G971" s="2" t="str">
        <f>IF(_xlfn.XLOOKUP(C971,Customers!$A$2:$A$1001,Customers!$C$2:$C$1001)=0,"",_xlfn.XLOOKUP(C971,Customers!$A$2:$A$1001,Customers!$C$2:$C$1001))</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_xlfn.XLOOKUP(Orders[[#This Row],[Customer ID]],Customers!$A$2:$A$1001,Customers!$I$2:$I$1001,0)</f>
        <v>Yes</v>
      </c>
    </row>
    <row r="972" spans="1:16" x14ac:dyDescent="0.3">
      <c r="A972" s="2" t="s">
        <v>5973</v>
      </c>
      <c r="B972" s="3">
        <v>43729</v>
      </c>
      <c r="C972" s="2" t="s">
        <v>5974</v>
      </c>
      <c r="D972" t="s">
        <v>6139</v>
      </c>
      <c r="E972" s="2">
        <v>1</v>
      </c>
      <c r="F972" s="2" t="str">
        <f>_xlfn.XLOOKUP(C972,Customers!$A$2:$A$1001,Customers!$B$2:$B$1001,0)</f>
        <v>Sharl Southerill</v>
      </c>
      <c r="G972" s="2" t="str">
        <f>IF(_xlfn.XLOOKUP(C972,Customers!$A$2:$A$1001,Customers!$C$2:$C$1001)=0,"",_xlfn.XLOOKUP(C972,Customers!$A$2:$A$1001,Customers!$C$2:$C$1001))</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_xlfn.XLOOKUP(Orders[[#This Row],[Customer ID]],Customers!$A$2:$A$1001,Customers!$I$2:$I$1001,0)</f>
        <v>No</v>
      </c>
    </row>
    <row r="973" spans="1:16" x14ac:dyDescent="0.3">
      <c r="A973" s="2" t="s">
        <v>5978</v>
      </c>
      <c r="B973" s="3">
        <v>43703</v>
      </c>
      <c r="C973" s="2" t="s">
        <v>5979</v>
      </c>
      <c r="D973" t="s">
        <v>6182</v>
      </c>
      <c r="E973" s="2">
        <v>5</v>
      </c>
      <c r="F973" s="2" t="str">
        <f>_xlfn.XLOOKUP(C973,Customers!$A$2:$A$1001,Customers!$B$2:$B$1001,0)</f>
        <v>Noni Furber</v>
      </c>
      <c r="G973" s="2" t="str">
        <f>IF(_xlfn.XLOOKUP(C973,Customers!$A$2:$A$1001,Customers!$C$2:$C$1001)=0,"",_xlfn.XLOOKUP(C973,Customers!$A$2:$A$1001,Customers!$C$2:$C$1001))</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_xlfn.XLOOKUP(Orders[[#This Row],[Customer ID]],Customers!$A$2:$A$1001,Customers!$I$2:$I$1001,0)</f>
        <v>No</v>
      </c>
    </row>
    <row r="974" spans="1:16" x14ac:dyDescent="0.3">
      <c r="A974" s="2" t="s">
        <v>5984</v>
      </c>
      <c r="B974" s="3">
        <v>44411</v>
      </c>
      <c r="C974" s="2" t="s">
        <v>5985</v>
      </c>
      <c r="D974" t="s">
        <v>6182</v>
      </c>
      <c r="E974" s="2">
        <v>3</v>
      </c>
      <c r="F974" s="2" t="str">
        <f>_xlfn.XLOOKUP(C974,Customers!$A$2:$A$1001,Customers!$B$2:$B$1001,0)</f>
        <v>Dinah Crutcher</v>
      </c>
      <c r="G974" s="2" t="str">
        <f>IF(_xlfn.XLOOKUP(C974,Customers!$A$2:$A$1001,Customers!$C$2:$C$1001)=0,"",_xlfn.XLOOKUP(C974,Customers!$A$2:$A$1001,Customers!$C$2:$C$1001))</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_xlfn.XLOOKUP(Orders[[#This Row],[Customer ID]],Customers!$A$2:$A$1001,Customers!$I$2:$I$1001,0)</f>
        <v>Yes</v>
      </c>
    </row>
    <row r="975" spans="1:16" x14ac:dyDescent="0.3">
      <c r="A975" s="2" t="s">
        <v>5989</v>
      </c>
      <c r="B975" s="3">
        <v>44493</v>
      </c>
      <c r="C975" s="2" t="s">
        <v>5990</v>
      </c>
      <c r="D975" t="s">
        <v>6162</v>
      </c>
      <c r="E975" s="2">
        <v>6</v>
      </c>
      <c r="F975" s="2" t="str">
        <f>_xlfn.XLOOKUP(C975,Customers!$A$2:$A$1001,Customers!$B$2:$B$1001,0)</f>
        <v>Charlean Keave</v>
      </c>
      <c r="G975" s="2" t="str">
        <f>IF(_xlfn.XLOOKUP(C975,Customers!$A$2:$A$1001,Customers!$C$2:$C$1001)=0,"",_xlfn.XLOOKUP(C975,Customers!$A$2:$A$1001,Customers!$C$2:$C$1001))</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_xlfn.XLOOKUP(Orders[[#This Row],[Customer ID]],Customers!$A$2:$A$1001,Customers!$I$2:$I$1001,0)</f>
        <v>No</v>
      </c>
    </row>
    <row r="976" spans="1:16" x14ac:dyDescent="0.3">
      <c r="A976" s="2" t="s">
        <v>5995</v>
      </c>
      <c r="B976" s="3">
        <v>43556</v>
      </c>
      <c r="C976" s="2" t="s">
        <v>5996</v>
      </c>
      <c r="D976" t="s">
        <v>6172</v>
      </c>
      <c r="E976" s="2">
        <v>1</v>
      </c>
      <c r="F976" s="2" t="str">
        <f>_xlfn.XLOOKUP(C976,Customers!$A$2:$A$1001,Customers!$B$2:$B$1001,0)</f>
        <v>Sada Roseborough</v>
      </c>
      <c r="G976" s="2" t="str">
        <f>IF(_xlfn.XLOOKUP(C976,Customers!$A$2:$A$1001,Customers!$C$2:$C$1001)=0,"",_xlfn.XLOOKUP(C976,Customers!$A$2:$A$1001,Customers!$C$2:$C$1001))</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_xlfn.XLOOKUP(Orders[[#This Row],[Customer ID]],Customers!$A$2:$A$1001,Customers!$I$2:$I$1001,0)</f>
        <v>Yes</v>
      </c>
    </row>
    <row r="977" spans="1:16" x14ac:dyDescent="0.3">
      <c r="A977" s="2" t="s">
        <v>6001</v>
      </c>
      <c r="B977" s="3">
        <v>44538</v>
      </c>
      <c r="C977" s="2" t="s">
        <v>6002</v>
      </c>
      <c r="D977" t="s">
        <v>6154</v>
      </c>
      <c r="E977" s="2">
        <v>3</v>
      </c>
      <c r="F977" s="2" t="str">
        <f>_xlfn.XLOOKUP(C977,Customers!$A$2:$A$1001,Customers!$B$2:$B$1001,0)</f>
        <v>Clayton Kingwell</v>
      </c>
      <c r="G977" s="2" t="str">
        <f>IF(_xlfn.XLOOKUP(C977,Customers!$A$2:$A$1001,Customers!$C$2:$C$1001)=0,"",_xlfn.XLOOKUP(C977,Customers!$A$2:$A$1001,Customers!$C$2:$C$1001))</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_xlfn.XLOOKUP(Orders[[#This Row],[Customer ID]],Customers!$A$2:$A$1001,Customers!$I$2:$I$1001,0)</f>
        <v>Yes</v>
      </c>
    </row>
    <row r="978" spans="1:16" x14ac:dyDescent="0.3">
      <c r="A978" s="2" t="s">
        <v>6007</v>
      </c>
      <c r="B978" s="3">
        <v>43643</v>
      </c>
      <c r="C978" s="2" t="s">
        <v>6008</v>
      </c>
      <c r="D978" t="s">
        <v>6142</v>
      </c>
      <c r="E978" s="2">
        <v>5</v>
      </c>
      <c r="F978" s="2" t="str">
        <f>_xlfn.XLOOKUP(C978,Customers!$A$2:$A$1001,Customers!$B$2:$B$1001,0)</f>
        <v>Kacy Canto</v>
      </c>
      <c r="G978" s="2" t="str">
        <f>IF(_xlfn.XLOOKUP(C978,Customers!$A$2:$A$1001,Customers!$C$2:$C$1001)=0,"",_xlfn.XLOOKUP(C978,Customers!$A$2:$A$1001,Customers!$C$2:$C$1001))</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_xlfn.XLOOKUP(Orders[[#This Row],[Customer ID]],Customers!$A$2:$A$1001,Customers!$I$2:$I$1001,0)</f>
        <v>Yes</v>
      </c>
    </row>
    <row r="979" spans="1:16" x14ac:dyDescent="0.3">
      <c r="A979" s="2" t="s">
        <v>6013</v>
      </c>
      <c r="B979" s="3">
        <v>44026</v>
      </c>
      <c r="C979" s="2" t="s">
        <v>6014</v>
      </c>
      <c r="D979" t="s">
        <v>6179</v>
      </c>
      <c r="E979" s="2">
        <v>5</v>
      </c>
      <c r="F979" s="2" t="str">
        <f>_xlfn.XLOOKUP(C979,Customers!$A$2:$A$1001,Customers!$B$2:$B$1001,0)</f>
        <v>Mab Blakemore</v>
      </c>
      <c r="G979" s="2" t="str">
        <f>IF(_xlfn.XLOOKUP(C979,Customers!$A$2:$A$1001,Customers!$C$2:$C$1001)=0,"",_xlfn.XLOOKUP(C979,Customers!$A$2:$A$1001,Customers!$C$2:$C$1001))</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_xlfn.XLOOKUP(Orders[[#This Row],[Customer ID]],Customers!$A$2:$A$1001,Customers!$I$2:$I$1001,0)</f>
        <v>No</v>
      </c>
    </row>
    <row r="980" spans="1:16" x14ac:dyDescent="0.3">
      <c r="A980" s="2" t="s">
        <v>6019</v>
      </c>
      <c r="B980" s="3">
        <v>43913</v>
      </c>
      <c r="C980" s="2" t="s">
        <v>5990</v>
      </c>
      <c r="D980" t="s">
        <v>6180</v>
      </c>
      <c r="E980" s="2">
        <v>3</v>
      </c>
      <c r="F980" s="2" t="str">
        <f>_xlfn.XLOOKUP(C980,Customers!$A$2:$A$1001,Customers!$B$2:$B$1001,0)</f>
        <v>Charlean Keave</v>
      </c>
      <c r="G980" s="2" t="str">
        <f>IF(_xlfn.XLOOKUP(C980,Customers!$A$2:$A$1001,Customers!$C$2:$C$1001)=0,"",_xlfn.XLOOKUP(C980,Customers!$A$2:$A$1001,Customers!$C$2:$C$1001))</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_xlfn.XLOOKUP(Orders[[#This Row],[Customer ID]],Customers!$A$2:$A$1001,Customers!$I$2:$I$1001,0)</f>
        <v>No</v>
      </c>
    </row>
    <row r="981" spans="1:16" x14ac:dyDescent="0.3">
      <c r="A981" s="2" t="s">
        <v>6025</v>
      </c>
      <c r="B981" s="3">
        <v>43856</v>
      </c>
      <c r="C981" s="2" t="s">
        <v>6026</v>
      </c>
      <c r="D981" t="s">
        <v>6172</v>
      </c>
      <c r="E981" s="2">
        <v>2</v>
      </c>
      <c r="F981" s="2" t="str">
        <f>_xlfn.XLOOKUP(C981,Customers!$A$2:$A$1001,Customers!$B$2:$B$1001,0)</f>
        <v>Javier Causnett</v>
      </c>
      <c r="G981" s="2" t="str">
        <f>IF(_xlfn.XLOOKUP(C981,Customers!$A$2:$A$1001,Customers!$C$2:$C$1001)=0,"",_xlfn.XLOOKUP(C981,Customers!$A$2:$A$1001,Customers!$C$2:$C$1001))</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_xlfn.XLOOKUP(Orders[[#This Row],[Customer ID]],Customers!$A$2:$A$1001,Customers!$I$2:$I$1001,0)</f>
        <v>No</v>
      </c>
    </row>
    <row r="982" spans="1:16" x14ac:dyDescent="0.3">
      <c r="A982" s="2" t="s">
        <v>6030</v>
      </c>
      <c r="B982" s="3">
        <v>43982</v>
      </c>
      <c r="C982" s="2" t="s">
        <v>6031</v>
      </c>
      <c r="D982" t="s">
        <v>6185</v>
      </c>
      <c r="E982" s="2">
        <v>6</v>
      </c>
      <c r="F982" s="2" t="str">
        <f>_xlfn.XLOOKUP(C982,Customers!$A$2:$A$1001,Customers!$B$2:$B$1001,0)</f>
        <v>Demetris Micheli</v>
      </c>
      <c r="G982" s="2" t="str">
        <f>IF(_xlfn.XLOOKUP(C982,Customers!$A$2:$A$1001,Customers!$C$2:$C$1001)=0,"",_xlfn.XLOOKUP(C982,Customers!$A$2:$A$1001,Customers!$C$2:$C$1001))</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_xlfn.XLOOKUP(Orders[[#This Row],[Customer ID]],Customers!$A$2:$A$1001,Customers!$I$2:$I$1001,0)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IF(_xlfn.XLOOKUP(C983,Customers!$A$2:$A$1001,Customers!$C$2:$C$1001)=0,"",_xlfn.XLOOKUP(C983,Customers!$A$2:$A$1001,Customers!$C$2:$C$1001))</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_xlfn.XLOOKUP(Orders[[#This Row],[Customer ID]],Customers!$A$2:$A$1001,Customers!$I$2:$I$1001,0)</f>
        <v>Yes</v>
      </c>
    </row>
    <row r="984" spans="1:16" x14ac:dyDescent="0.3">
      <c r="A984" s="2" t="s">
        <v>6041</v>
      </c>
      <c r="B984" s="3">
        <v>44785</v>
      </c>
      <c r="C984" s="2" t="s">
        <v>6042</v>
      </c>
      <c r="D984" t="s">
        <v>6179</v>
      </c>
      <c r="E984" s="2">
        <v>2</v>
      </c>
      <c r="F984" s="2" t="str">
        <f>_xlfn.XLOOKUP(C984,Customers!$A$2:$A$1001,Customers!$B$2:$B$1001,0)</f>
        <v>Kim Kemery</v>
      </c>
      <c r="G984" s="2" t="str">
        <f>IF(_xlfn.XLOOKUP(C984,Customers!$A$2:$A$1001,Customers!$C$2:$C$1001)=0,"",_xlfn.XLOOKUP(C984,Customers!$A$2:$A$1001,Customers!$C$2:$C$1001))</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_xlfn.XLOOKUP(Orders[[#This Row],[Customer ID]],Customers!$A$2:$A$1001,Customers!$I$2:$I$1001,0)</f>
        <v>Yes</v>
      </c>
    </row>
    <row r="985" spans="1:16" x14ac:dyDescent="0.3">
      <c r="A985" s="2" t="s">
        <v>6047</v>
      </c>
      <c r="B985" s="3">
        <v>43831</v>
      </c>
      <c r="C985" s="2" t="s">
        <v>6048</v>
      </c>
      <c r="D985" t="s">
        <v>6152</v>
      </c>
      <c r="E985" s="2">
        <v>2</v>
      </c>
      <c r="F985" s="2" t="str">
        <f>_xlfn.XLOOKUP(C985,Customers!$A$2:$A$1001,Customers!$B$2:$B$1001,0)</f>
        <v>Fanchette Parlot</v>
      </c>
      <c r="G985" s="2" t="str">
        <f>IF(_xlfn.XLOOKUP(C985,Customers!$A$2:$A$1001,Customers!$C$2:$C$1001)=0,"",_xlfn.XLOOKUP(C985,Customers!$A$2:$A$1001,Customers!$C$2:$C$1001))</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_xlfn.XLOOKUP(Orders[[#This Row],[Customer ID]],Customers!$A$2:$A$1001,Customers!$I$2:$I$1001,0)</f>
        <v>Yes</v>
      </c>
    </row>
    <row r="986" spans="1:16" x14ac:dyDescent="0.3">
      <c r="A986" s="2" t="s">
        <v>6053</v>
      </c>
      <c r="B986" s="3">
        <v>44214</v>
      </c>
      <c r="C986" s="2" t="s">
        <v>6054</v>
      </c>
      <c r="D986" t="s">
        <v>6166</v>
      </c>
      <c r="E986" s="2">
        <v>1</v>
      </c>
      <c r="F986" s="2" t="str">
        <f>_xlfn.XLOOKUP(C986,Customers!$A$2:$A$1001,Customers!$B$2:$B$1001,0)</f>
        <v>Ramon Cheak</v>
      </c>
      <c r="G986" s="2" t="str">
        <f>IF(_xlfn.XLOOKUP(C986,Customers!$A$2:$A$1001,Customers!$C$2:$C$1001)=0,"",_xlfn.XLOOKUP(C986,Customers!$A$2:$A$1001,Customers!$C$2:$C$1001))</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_xlfn.XLOOKUP(Orders[[#This Row],[Customer ID]],Customers!$A$2:$A$1001,Customers!$I$2:$I$1001,0)</f>
        <v>Yes</v>
      </c>
    </row>
    <row r="987" spans="1:16" x14ac:dyDescent="0.3">
      <c r="A987" s="2" t="s">
        <v>6058</v>
      </c>
      <c r="B987" s="3">
        <v>44561</v>
      </c>
      <c r="C987" s="2" t="s">
        <v>6059</v>
      </c>
      <c r="D987" t="s">
        <v>6179</v>
      </c>
      <c r="E987" s="2">
        <v>4</v>
      </c>
      <c r="F987" s="2" t="str">
        <f>_xlfn.XLOOKUP(C987,Customers!$A$2:$A$1001,Customers!$B$2:$B$1001,0)</f>
        <v>Koressa O'Geneay</v>
      </c>
      <c r="G987" s="2" t="str">
        <f>IF(_xlfn.XLOOKUP(C987,Customers!$A$2:$A$1001,Customers!$C$2:$C$1001)=0,"",_xlfn.XLOOKUP(C987,Customers!$A$2:$A$1001,Customers!$C$2:$C$1001))</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_xlfn.XLOOKUP(Orders[[#This Row],[Customer ID]],Customers!$A$2:$A$1001,Customers!$I$2:$I$1001,0)</f>
        <v>No</v>
      </c>
    </row>
    <row r="988" spans="1:16" x14ac:dyDescent="0.3">
      <c r="A988" s="2" t="s">
        <v>6064</v>
      </c>
      <c r="B988" s="3">
        <v>43955</v>
      </c>
      <c r="C988" s="2" t="s">
        <v>6065</v>
      </c>
      <c r="D988" t="s">
        <v>6181</v>
      </c>
      <c r="E988" s="2">
        <v>1</v>
      </c>
      <c r="F988" s="2" t="str">
        <f>_xlfn.XLOOKUP(C988,Customers!$A$2:$A$1001,Customers!$B$2:$B$1001,0)</f>
        <v>Claudell Ayre</v>
      </c>
      <c r="G988" s="2" t="str">
        <f>IF(_xlfn.XLOOKUP(C988,Customers!$A$2:$A$1001,Customers!$C$2:$C$1001)=0,"",_xlfn.XLOOKUP(C988,Customers!$A$2:$A$1001,Customers!$C$2:$C$1001))</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_xlfn.XLOOKUP(Orders[[#This Row],[Customer ID]],Customers!$A$2:$A$1001,Customers!$I$2:$I$1001,0)</f>
        <v>No</v>
      </c>
    </row>
    <row r="989" spans="1:16" x14ac:dyDescent="0.3">
      <c r="A989" s="2" t="s">
        <v>6070</v>
      </c>
      <c r="B989" s="3">
        <v>44247</v>
      </c>
      <c r="C989" s="2" t="s">
        <v>6071</v>
      </c>
      <c r="D989" t="s">
        <v>6158</v>
      </c>
      <c r="E989" s="2">
        <v>5</v>
      </c>
      <c r="F989" s="2" t="str">
        <f>_xlfn.XLOOKUP(C989,Customers!$A$2:$A$1001,Customers!$B$2:$B$1001,0)</f>
        <v>Lorianne Kyneton</v>
      </c>
      <c r="G989" s="2" t="str">
        <f>IF(_xlfn.XLOOKUP(C989,Customers!$A$2:$A$1001,Customers!$C$2:$C$1001)=0,"",_xlfn.XLOOKUP(C989,Customers!$A$2:$A$1001,Customers!$C$2:$C$1001))</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_xlfn.XLOOKUP(Orders[[#This Row],[Customer ID]],Customers!$A$2:$A$1001,Customers!$I$2:$I$1001,0)</f>
        <v>Yes</v>
      </c>
    </row>
    <row r="990" spans="1:16" x14ac:dyDescent="0.3">
      <c r="A990" s="2" t="s">
        <v>6076</v>
      </c>
      <c r="B990" s="3">
        <v>43897</v>
      </c>
      <c r="C990" s="2" t="s">
        <v>6077</v>
      </c>
      <c r="D990" t="s">
        <v>6138</v>
      </c>
      <c r="E990" s="2">
        <v>3</v>
      </c>
      <c r="F990" s="2" t="str">
        <f>_xlfn.XLOOKUP(C990,Customers!$A$2:$A$1001,Customers!$B$2:$B$1001,0)</f>
        <v>Adele McFayden</v>
      </c>
      <c r="G990" s="2" t="str">
        <f>IF(_xlfn.XLOOKUP(C990,Customers!$A$2:$A$1001,Customers!$C$2:$C$1001)=0,"",_xlfn.XLOOKUP(C990,Customers!$A$2:$A$1001,Customers!$C$2:$C$1001))</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_xlfn.XLOOKUP(Orders[[#This Row],[Customer ID]],Customers!$A$2:$A$1001,Customers!$I$2:$I$1001,0)</f>
        <v>Yes</v>
      </c>
    </row>
    <row r="991" spans="1:16" x14ac:dyDescent="0.3">
      <c r="A991" s="2" t="s">
        <v>6081</v>
      </c>
      <c r="B991" s="3">
        <v>43560</v>
      </c>
      <c r="C991" s="2" t="s">
        <v>6082</v>
      </c>
      <c r="D991" t="s">
        <v>6175</v>
      </c>
      <c r="E991" s="2">
        <v>6</v>
      </c>
      <c r="F991" s="2" t="str">
        <f>_xlfn.XLOOKUP(C991,Customers!$A$2:$A$1001,Customers!$B$2:$B$1001,0)</f>
        <v>Herta Layne</v>
      </c>
      <c r="G991" s="2" t="str">
        <f>IF(_xlfn.XLOOKUP(C991,Customers!$A$2:$A$1001,Customers!$C$2:$C$1001)=0,"",_xlfn.XLOOKUP(C991,Customers!$A$2:$A$1001,Customers!$C$2:$C$1001))</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_xlfn.XLOOKUP(Orders[[#This Row],[Customer ID]],Customers!$A$2:$A$1001,Customers!$I$2:$I$1001,0)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IF(_xlfn.XLOOKUP(C992,Customers!$A$2:$A$1001,Customers!$C$2:$C$1001)=0,"",_xlfn.XLOOKUP(C992,Customers!$A$2:$A$1001,Customers!$C$2:$C$1001))</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_xlfn.XLOOKUP(Orders[[#This Row],[Customer ID]],Customers!$A$2:$A$1001,Customers!$I$2:$I$1001,0)</f>
        <v>No</v>
      </c>
    </row>
    <row r="993" spans="1:16" x14ac:dyDescent="0.3">
      <c r="A993" s="2" t="s">
        <v>6086</v>
      </c>
      <c r="B993" s="3">
        <v>44718</v>
      </c>
      <c r="C993" s="2" t="s">
        <v>6118</v>
      </c>
      <c r="D993" t="s">
        <v>6169</v>
      </c>
      <c r="E993" s="2">
        <v>2</v>
      </c>
      <c r="F993" s="2" t="str">
        <f>_xlfn.XLOOKUP(C993,Customers!$A$2:$A$1001,Customers!$B$2:$B$1001,0)</f>
        <v>Marguerite Graves</v>
      </c>
      <c r="G993" s="2" t="str">
        <f>IF(_xlfn.XLOOKUP(C993,Customers!$A$2:$A$1001,Customers!$C$2:$C$1001)=0,"",_xlfn.XLOOKUP(C993,Customers!$A$2:$A$1001,Customers!$C$2:$C$1001))</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_xlfn.XLOOKUP(Orders[[#This Row],[Customer ID]],Customers!$A$2:$A$1001,Customers!$I$2:$I$1001,0)</f>
        <v>No</v>
      </c>
    </row>
    <row r="994" spans="1:16" x14ac:dyDescent="0.3">
      <c r="A994" s="2" t="s">
        <v>6096</v>
      </c>
      <c r="B994" s="3">
        <v>44276</v>
      </c>
      <c r="C994" s="2" t="s">
        <v>6097</v>
      </c>
      <c r="D994" t="s">
        <v>6164</v>
      </c>
      <c r="E994" s="2">
        <v>3</v>
      </c>
      <c r="F994" s="2" t="str">
        <f>_xlfn.XLOOKUP(C994,Customers!$A$2:$A$1001,Customers!$B$2:$B$1001,0)</f>
        <v>Desdemona Eye</v>
      </c>
      <c r="G994" s="2" t="str">
        <f>IF(_xlfn.XLOOKUP(C994,Customers!$A$2:$A$1001,Customers!$C$2:$C$1001)=0,"",_xlfn.XLOOKUP(C994,Customers!$A$2:$A$1001,Customers!$C$2:$C$1001))</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_xlfn.XLOOKUP(Orders[[#This Row],[Customer ID]],Customers!$A$2:$A$1001,Customers!$I$2:$I$1001,0)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IF(_xlfn.XLOOKUP(C995,Customers!$A$2:$A$1001,Customers!$C$2:$C$1001)=0,"",_xlfn.XLOOKUP(C995,Customers!$A$2:$A$1001,Customers!$C$2:$C$1001))</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_xlfn.XLOOKUP(Orders[[#This Row],[Customer ID]],Customers!$A$2:$A$1001,Customers!$I$2:$I$1001,0)</f>
        <v>No</v>
      </c>
    </row>
    <row r="996" spans="1:16" x14ac:dyDescent="0.3">
      <c r="A996" s="2" t="s">
        <v>6106</v>
      </c>
      <c r="B996" s="3">
        <v>44244</v>
      </c>
      <c r="C996" s="2" t="s">
        <v>6107</v>
      </c>
      <c r="D996" t="s">
        <v>6154</v>
      </c>
      <c r="E996" s="2">
        <v>3</v>
      </c>
      <c r="F996" s="2" t="str">
        <f>_xlfn.XLOOKUP(C996,Customers!$A$2:$A$1001,Customers!$B$2:$B$1001,0)</f>
        <v>Catharine Scoines</v>
      </c>
      <c r="G996" s="2" t="str">
        <f>IF(_xlfn.XLOOKUP(C996,Customers!$A$2:$A$1001,Customers!$C$2:$C$1001)=0,"",_xlfn.XLOOKUP(C996,Customers!$A$2:$A$1001,Customers!$C$2:$C$1001))</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_xlfn.XLOOKUP(Orders[[#This Row],[Customer ID]],Customers!$A$2:$A$1001,Customers!$I$2:$I$1001,0)</f>
        <v>No</v>
      </c>
    </row>
    <row r="997" spans="1:16" x14ac:dyDescent="0.3">
      <c r="A997" s="2" t="s">
        <v>6111</v>
      </c>
      <c r="B997" s="3">
        <v>43836</v>
      </c>
      <c r="C997" s="2" t="s">
        <v>6112</v>
      </c>
      <c r="D997" t="s">
        <v>6142</v>
      </c>
      <c r="E997" s="2">
        <v>1</v>
      </c>
      <c r="F997" s="2" t="str">
        <f>_xlfn.XLOOKUP(C997,Customers!$A$2:$A$1001,Customers!$B$2:$B$1001,0)</f>
        <v>Jennica Tewelson</v>
      </c>
      <c r="G997" s="2" t="str">
        <f>IF(_xlfn.XLOOKUP(C997,Customers!$A$2:$A$1001,Customers!$C$2:$C$1001)=0,"",_xlfn.XLOOKUP(C997,Customers!$A$2:$A$1001,Customers!$C$2:$C$1001))</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_xlfn.XLOOKUP(Orders[[#This Row],[Customer ID]],Customers!$A$2:$A$1001,Customers!$I$2:$I$1001,0)</f>
        <v>No</v>
      </c>
    </row>
    <row r="998" spans="1:16" x14ac:dyDescent="0.3">
      <c r="A998" s="2" t="s">
        <v>6117</v>
      </c>
      <c r="B998" s="3">
        <v>44685</v>
      </c>
      <c r="C998" s="2" t="s">
        <v>6118</v>
      </c>
      <c r="D998" t="s">
        <v>6146</v>
      </c>
      <c r="E998" s="2">
        <v>5</v>
      </c>
      <c r="F998" s="2" t="str">
        <f>_xlfn.XLOOKUP(C998,Customers!$A$2:$A$1001,Customers!$B$2:$B$1001,0)</f>
        <v>Marguerite Graves</v>
      </c>
      <c r="G998" s="2" t="str">
        <f>IF(_xlfn.XLOOKUP(C998,Customers!$A$2:$A$1001,Customers!$C$2:$C$1001)=0,"",_xlfn.XLOOKUP(C998,Customers!$A$2:$A$1001,Customers!$C$2:$C$1001))</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_xlfn.XLOOKUP(Orders[[#This Row],[Customer ID]],Customers!$A$2:$A$1001,Customers!$I$2:$I$1001,0)</f>
        <v>No</v>
      </c>
    </row>
    <row r="999" spans="1:16" x14ac:dyDescent="0.3">
      <c r="A999" s="2" t="s">
        <v>6122</v>
      </c>
      <c r="B999" s="3">
        <v>43749</v>
      </c>
      <c r="C999" s="2" t="s">
        <v>6118</v>
      </c>
      <c r="D999" t="s">
        <v>6157</v>
      </c>
      <c r="E999" s="2">
        <v>4</v>
      </c>
      <c r="F999" s="2" t="str">
        <f>_xlfn.XLOOKUP(C999,Customers!$A$2:$A$1001,Customers!$B$2:$B$1001,0)</f>
        <v>Marguerite Graves</v>
      </c>
      <c r="G999" s="2" t="str">
        <f>IF(_xlfn.XLOOKUP(C999,Customers!$A$2:$A$1001,Customers!$C$2:$C$1001)=0,"",_xlfn.XLOOKUP(C999,Customers!$A$2:$A$1001,Customers!$C$2:$C$1001))</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_xlfn.XLOOKUP(Orders[[#This Row],[Customer ID]],Customers!$A$2:$A$1001,Customers!$I$2:$I$1001,0)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IF(_xlfn.XLOOKUP(C1000,Customers!$A$2:$A$1001,Customers!$C$2:$C$1001)=0,"",_xlfn.XLOOKUP(C1000,Customers!$A$2:$A$1001,Customers!$C$2:$C$1001))</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_xlfn.XLOOKUP(Orders[[#This Row],[Customer ID]],Customers!$A$2:$A$1001,Customers!$I$2:$I$1001,0)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IF(_xlfn.XLOOKUP(C1001,Customers!$A$2:$A$1001,Customers!$C$2:$C$1001)=0,"",_xlfn.XLOOKUP(C1001,Customers!$A$2:$A$1001,Customers!$C$2:$C$1001))</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_xlfn.XLOOKUP(Orders[[#This Row],[Customer ID]],Customers!$A$2:$A$1001,Customers!$I$2:$I$1001,0)</f>
        <v>Yes</v>
      </c>
    </row>
    <row r="1002" spans="1:16" x14ac:dyDescent="0.3">
      <c r="H1002" s="2"/>
      <c r="M1002" s="7"/>
      <c r="P1002">
        <f>_xlfn.XLOOKUP(Orders[[#This Row],[Customer ID]],Customers!$A$2:$A$1001,Customers!$I$2:$I$1001,0)</f>
        <v>0</v>
      </c>
    </row>
    <row r="1003" spans="1:16" x14ac:dyDescent="0.3">
      <c r="B1003"/>
    </row>
    <row r="1004" spans="1:16" x14ac:dyDescent="0.3">
      <c r="B1004"/>
    </row>
    <row r="1005" spans="1:16" x14ac:dyDescent="0.3">
      <c r="B1005"/>
    </row>
    <row r="1006" spans="1:16" x14ac:dyDescent="0.3">
      <c r="B1006"/>
    </row>
    <row r="1007" spans="1:16" x14ac:dyDescent="0.3">
      <c r="B1007"/>
    </row>
    <row r="1008" spans="1:16"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row r="1472" spans="2:2" x14ac:dyDescent="0.3">
      <c r="B1472"/>
    </row>
    <row r="1473" spans="2:2" x14ac:dyDescent="0.3">
      <c r="B1473"/>
    </row>
    <row r="1474" spans="2:2" x14ac:dyDescent="0.3">
      <c r="B1474"/>
    </row>
    <row r="1475" spans="2:2" x14ac:dyDescent="0.3">
      <c r="B1475"/>
    </row>
    <row r="1476" spans="2:2" x14ac:dyDescent="0.3">
      <c r="B1476"/>
    </row>
    <row r="1477" spans="2:2" x14ac:dyDescent="0.3">
      <c r="B1477"/>
    </row>
    <row r="1478" spans="2:2" x14ac:dyDescent="0.3">
      <c r="B1478"/>
    </row>
    <row r="1479" spans="2:2" x14ac:dyDescent="0.3">
      <c r="B1479"/>
    </row>
    <row r="1480" spans="2:2" x14ac:dyDescent="0.3">
      <c r="B1480"/>
    </row>
    <row r="1481" spans="2:2" x14ac:dyDescent="0.3">
      <c r="B1481"/>
    </row>
    <row r="1482" spans="2:2" x14ac:dyDescent="0.3">
      <c r="B1482"/>
    </row>
    <row r="1483" spans="2:2" x14ac:dyDescent="0.3">
      <c r="B1483"/>
    </row>
    <row r="1484" spans="2:2" x14ac:dyDescent="0.3">
      <c r="B1484"/>
    </row>
    <row r="1485" spans="2:2" x14ac:dyDescent="0.3">
      <c r="B1485"/>
    </row>
    <row r="1486" spans="2:2" x14ac:dyDescent="0.3">
      <c r="B1486"/>
    </row>
    <row r="1487" spans="2:2" x14ac:dyDescent="0.3">
      <c r="B1487"/>
    </row>
    <row r="1488" spans="2:2" x14ac:dyDescent="0.3">
      <c r="B1488"/>
    </row>
    <row r="1489" spans="2:2" x14ac:dyDescent="0.3">
      <c r="B1489"/>
    </row>
    <row r="1490" spans="2:2" x14ac:dyDescent="0.3">
      <c r="B1490"/>
    </row>
    <row r="1491" spans="2:2" x14ac:dyDescent="0.3">
      <c r="B1491"/>
    </row>
    <row r="1492" spans="2:2" x14ac:dyDescent="0.3">
      <c r="B1492"/>
    </row>
    <row r="1493" spans="2:2" x14ac:dyDescent="0.3">
      <c r="B1493"/>
    </row>
    <row r="1494" spans="2:2" x14ac:dyDescent="0.3">
      <c r="B1494"/>
    </row>
    <row r="1495" spans="2:2" x14ac:dyDescent="0.3">
      <c r="B1495"/>
    </row>
    <row r="1496" spans="2:2" x14ac:dyDescent="0.3">
      <c r="B1496"/>
    </row>
    <row r="1497" spans="2:2" x14ac:dyDescent="0.3">
      <c r="B1497"/>
    </row>
    <row r="1498" spans="2:2" x14ac:dyDescent="0.3">
      <c r="B1498"/>
    </row>
    <row r="1499" spans="2:2" x14ac:dyDescent="0.3">
      <c r="B1499"/>
    </row>
    <row r="1500" spans="2:2" x14ac:dyDescent="0.3">
      <c r="B1500"/>
    </row>
    <row r="1501" spans="2:2" x14ac:dyDescent="0.3">
      <c r="B1501"/>
    </row>
    <row r="1502" spans="2:2" x14ac:dyDescent="0.3">
      <c r="B1502"/>
    </row>
    <row r="1503" spans="2:2" x14ac:dyDescent="0.3">
      <c r="B1503"/>
    </row>
    <row r="1504" spans="2:2" x14ac:dyDescent="0.3">
      <c r="B1504"/>
    </row>
    <row r="1505" spans="2:2" x14ac:dyDescent="0.3">
      <c r="B1505"/>
    </row>
    <row r="1506" spans="2:2" x14ac:dyDescent="0.3">
      <c r="B1506"/>
    </row>
    <row r="1507" spans="2:2" x14ac:dyDescent="0.3">
      <c r="B1507"/>
    </row>
    <row r="1508" spans="2:2" x14ac:dyDescent="0.3">
      <c r="B1508"/>
    </row>
    <row r="1509" spans="2:2" x14ac:dyDescent="0.3">
      <c r="B1509"/>
    </row>
    <row r="1510" spans="2:2" x14ac:dyDescent="0.3">
      <c r="B1510"/>
    </row>
    <row r="1511" spans="2:2" x14ac:dyDescent="0.3">
      <c r="B1511"/>
    </row>
    <row r="1512" spans="2:2" x14ac:dyDescent="0.3">
      <c r="B1512"/>
    </row>
    <row r="1513" spans="2:2" x14ac:dyDescent="0.3">
      <c r="B1513"/>
    </row>
    <row r="1514" spans="2:2" x14ac:dyDescent="0.3">
      <c r="B1514"/>
    </row>
    <row r="1515" spans="2:2" x14ac:dyDescent="0.3">
      <c r="B1515"/>
    </row>
    <row r="1516" spans="2:2" x14ac:dyDescent="0.3">
      <c r="B1516"/>
    </row>
    <row r="1517" spans="2:2" x14ac:dyDescent="0.3">
      <c r="B1517"/>
    </row>
    <row r="1518" spans="2:2" x14ac:dyDescent="0.3">
      <c r="B1518"/>
    </row>
    <row r="1519" spans="2:2" x14ac:dyDescent="0.3">
      <c r="B1519"/>
    </row>
    <row r="1520" spans="2:2" x14ac:dyDescent="0.3">
      <c r="B1520"/>
    </row>
    <row r="1521" spans="2:2" x14ac:dyDescent="0.3">
      <c r="B1521"/>
    </row>
    <row r="1522" spans="2:2" x14ac:dyDescent="0.3">
      <c r="B1522"/>
    </row>
    <row r="1523" spans="2:2" x14ac:dyDescent="0.3">
      <c r="B1523"/>
    </row>
    <row r="1524" spans="2:2" x14ac:dyDescent="0.3">
      <c r="B1524"/>
    </row>
    <row r="1525" spans="2:2" x14ac:dyDescent="0.3">
      <c r="B1525"/>
    </row>
    <row r="1526" spans="2:2" x14ac:dyDescent="0.3">
      <c r="B1526"/>
    </row>
    <row r="1527" spans="2:2" x14ac:dyDescent="0.3">
      <c r="B1527"/>
    </row>
    <row r="1528" spans="2:2" x14ac:dyDescent="0.3">
      <c r="B1528"/>
    </row>
    <row r="1529" spans="2:2" x14ac:dyDescent="0.3">
      <c r="B1529"/>
    </row>
    <row r="1530" spans="2:2" x14ac:dyDescent="0.3">
      <c r="B1530"/>
    </row>
    <row r="1531" spans="2:2" x14ac:dyDescent="0.3">
      <c r="B1531"/>
    </row>
    <row r="1532" spans="2:2" x14ac:dyDescent="0.3">
      <c r="B1532"/>
    </row>
    <row r="1533" spans="2:2" x14ac:dyDescent="0.3">
      <c r="B1533"/>
    </row>
    <row r="1534" spans="2:2" x14ac:dyDescent="0.3">
      <c r="B1534"/>
    </row>
    <row r="1535" spans="2:2" x14ac:dyDescent="0.3">
      <c r="B1535"/>
    </row>
    <row r="1536" spans="2:2" x14ac:dyDescent="0.3">
      <c r="B1536"/>
    </row>
    <row r="1537" spans="2:2" x14ac:dyDescent="0.3">
      <c r="B1537"/>
    </row>
    <row r="1538" spans="2:2" x14ac:dyDescent="0.3">
      <c r="B1538"/>
    </row>
    <row r="1539" spans="2:2" x14ac:dyDescent="0.3">
      <c r="B1539"/>
    </row>
    <row r="1540" spans="2:2" x14ac:dyDescent="0.3">
      <c r="B1540"/>
    </row>
    <row r="1541" spans="2:2" x14ac:dyDescent="0.3">
      <c r="B1541"/>
    </row>
    <row r="1542" spans="2:2" x14ac:dyDescent="0.3">
      <c r="B1542"/>
    </row>
    <row r="1543" spans="2:2" x14ac:dyDescent="0.3">
      <c r="B1543"/>
    </row>
    <row r="1544" spans="2:2" x14ac:dyDescent="0.3">
      <c r="B1544"/>
    </row>
    <row r="1545" spans="2:2" x14ac:dyDescent="0.3">
      <c r="B1545"/>
    </row>
    <row r="1546" spans="2:2" x14ac:dyDescent="0.3">
      <c r="B1546"/>
    </row>
    <row r="1547" spans="2:2" x14ac:dyDescent="0.3">
      <c r="B1547"/>
    </row>
    <row r="1548" spans="2:2" x14ac:dyDescent="0.3">
      <c r="B1548"/>
    </row>
    <row r="1549" spans="2:2" x14ac:dyDescent="0.3">
      <c r="B1549"/>
    </row>
    <row r="1550" spans="2:2" x14ac:dyDescent="0.3">
      <c r="B1550"/>
    </row>
    <row r="1551" spans="2:2" x14ac:dyDescent="0.3">
      <c r="B1551"/>
    </row>
    <row r="1552" spans="2:2" x14ac:dyDescent="0.3">
      <c r="B1552"/>
    </row>
    <row r="1553" spans="2:2" x14ac:dyDescent="0.3">
      <c r="B1553"/>
    </row>
    <row r="1554" spans="2:2" x14ac:dyDescent="0.3">
      <c r="B1554"/>
    </row>
    <row r="1555" spans="2:2" x14ac:dyDescent="0.3">
      <c r="B1555"/>
    </row>
    <row r="1556" spans="2:2" x14ac:dyDescent="0.3">
      <c r="B1556"/>
    </row>
    <row r="1557" spans="2:2" x14ac:dyDescent="0.3">
      <c r="B1557"/>
    </row>
    <row r="1558" spans="2:2" x14ac:dyDescent="0.3">
      <c r="B1558"/>
    </row>
    <row r="1559" spans="2:2" x14ac:dyDescent="0.3">
      <c r="B1559"/>
    </row>
    <row r="1560" spans="2:2" x14ac:dyDescent="0.3">
      <c r="B1560"/>
    </row>
    <row r="1561" spans="2:2" x14ac:dyDescent="0.3">
      <c r="B1561"/>
    </row>
    <row r="1562" spans="2:2" x14ac:dyDescent="0.3">
      <c r="B1562"/>
    </row>
    <row r="1563" spans="2:2" x14ac:dyDescent="0.3">
      <c r="B1563"/>
    </row>
    <row r="1564" spans="2:2" x14ac:dyDescent="0.3">
      <c r="B1564"/>
    </row>
    <row r="1565" spans="2:2" x14ac:dyDescent="0.3">
      <c r="B1565"/>
    </row>
    <row r="1566" spans="2:2" x14ac:dyDescent="0.3">
      <c r="B1566"/>
    </row>
    <row r="1567" spans="2:2" x14ac:dyDescent="0.3">
      <c r="B1567"/>
    </row>
    <row r="1568" spans="2:2" x14ac:dyDescent="0.3">
      <c r="B1568"/>
    </row>
    <row r="1569" spans="2:2" x14ac:dyDescent="0.3">
      <c r="B1569"/>
    </row>
    <row r="1570" spans="2:2" x14ac:dyDescent="0.3">
      <c r="B1570"/>
    </row>
    <row r="1571" spans="2:2" x14ac:dyDescent="0.3">
      <c r="B1571"/>
    </row>
    <row r="1572" spans="2:2" x14ac:dyDescent="0.3">
      <c r="B1572"/>
    </row>
    <row r="1573" spans="2:2" x14ac:dyDescent="0.3">
      <c r="B1573"/>
    </row>
    <row r="1574" spans="2:2" x14ac:dyDescent="0.3">
      <c r="B1574"/>
    </row>
    <row r="1575" spans="2:2" x14ac:dyDescent="0.3">
      <c r="B1575"/>
    </row>
    <row r="1576" spans="2:2" x14ac:dyDescent="0.3">
      <c r="B1576"/>
    </row>
    <row r="1577" spans="2:2" x14ac:dyDescent="0.3">
      <c r="B1577"/>
    </row>
    <row r="1578" spans="2:2" x14ac:dyDescent="0.3">
      <c r="B1578"/>
    </row>
    <row r="1579" spans="2:2" x14ac:dyDescent="0.3">
      <c r="B1579"/>
    </row>
    <row r="1580" spans="2:2" x14ac:dyDescent="0.3">
      <c r="B1580"/>
    </row>
    <row r="1581" spans="2:2" x14ac:dyDescent="0.3">
      <c r="B1581"/>
    </row>
    <row r="1582" spans="2:2" x14ac:dyDescent="0.3">
      <c r="B1582"/>
    </row>
    <row r="1583" spans="2:2" x14ac:dyDescent="0.3">
      <c r="B1583"/>
    </row>
    <row r="1584" spans="2:2" x14ac:dyDescent="0.3">
      <c r="B1584"/>
    </row>
    <row r="1585" spans="2:2" x14ac:dyDescent="0.3">
      <c r="B1585"/>
    </row>
    <row r="1586" spans="2:2" x14ac:dyDescent="0.3">
      <c r="B1586"/>
    </row>
    <row r="1587" spans="2:2" x14ac:dyDescent="0.3">
      <c r="B1587"/>
    </row>
    <row r="1588" spans="2:2" x14ac:dyDescent="0.3">
      <c r="B1588"/>
    </row>
    <row r="1589" spans="2:2" x14ac:dyDescent="0.3">
      <c r="B1589"/>
    </row>
    <row r="1590" spans="2:2" x14ac:dyDescent="0.3">
      <c r="B1590"/>
    </row>
    <row r="1591" spans="2:2" x14ac:dyDescent="0.3">
      <c r="B1591"/>
    </row>
    <row r="1592" spans="2:2" x14ac:dyDescent="0.3">
      <c r="B1592"/>
    </row>
    <row r="1593" spans="2:2" x14ac:dyDescent="0.3">
      <c r="B1593"/>
    </row>
    <row r="1594" spans="2:2" x14ac:dyDescent="0.3">
      <c r="B1594"/>
    </row>
    <row r="1595" spans="2:2" x14ac:dyDescent="0.3">
      <c r="B1595"/>
    </row>
    <row r="1596" spans="2:2" x14ac:dyDescent="0.3">
      <c r="B1596"/>
    </row>
    <row r="1597" spans="2:2" x14ac:dyDescent="0.3">
      <c r="B1597"/>
    </row>
    <row r="1598" spans="2:2" x14ac:dyDescent="0.3">
      <c r="B1598"/>
    </row>
    <row r="1599" spans="2:2" x14ac:dyDescent="0.3">
      <c r="B1599"/>
    </row>
    <row r="1600" spans="2:2" x14ac:dyDescent="0.3">
      <c r="B1600"/>
    </row>
    <row r="1601" spans="2:2" x14ac:dyDescent="0.3">
      <c r="B1601"/>
    </row>
    <row r="1602" spans="2:2" x14ac:dyDescent="0.3">
      <c r="B1602"/>
    </row>
    <row r="1603" spans="2:2" x14ac:dyDescent="0.3">
      <c r="B1603"/>
    </row>
    <row r="1604" spans="2:2" x14ac:dyDescent="0.3">
      <c r="B1604"/>
    </row>
    <row r="1605" spans="2:2" x14ac:dyDescent="0.3">
      <c r="B1605"/>
    </row>
    <row r="1606" spans="2:2" x14ac:dyDescent="0.3">
      <c r="B1606"/>
    </row>
    <row r="1607" spans="2:2" x14ac:dyDescent="0.3">
      <c r="B1607"/>
    </row>
    <row r="1608" spans="2:2" x14ac:dyDescent="0.3">
      <c r="B1608"/>
    </row>
    <row r="1609" spans="2:2" x14ac:dyDescent="0.3">
      <c r="B1609"/>
    </row>
    <row r="1610" spans="2:2" x14ac:dyDescent="0.3">
      <c r="B1610"/>
    </row>
    <row r="1611" spans="2:2" x14ac:dyDescent="0.3">
      <c r="B1611"/>
    </row>
    <row r="1612" spans="2:2" x14ac:dyDescent="0.3">
      <c r="B1612"/>
    </row>
    <row r="1613" spans="2:2" x14ac:dyDescent="0.3">
      <c r="B1613"/>
    </row>
    <row r="1614" spans="2:2" x14ac:dyDescent="0.3">
      <c r="B1614"/>
    </row>
    <row r="1615" spans="2:2" x14ac:dyDescent="0.3">
      <c r="B1615"/>
    </row>
    <row r="1616" spans="2:2" x14ac:dyDescent="0.3">
      <c r="B1616"/>
    </row>
    <row r="1617" spans="2:2" x14ac:dyDescent="0.3">
      <c r="B1617"/>
    </row>
    <row r="1618" spans="2:2" x14ac:dyDescent="0.3">
      <c r="B1618"/>
    </row>
    <row r="1619" spans="2:2" x14ac:dyDescent="0.3">
      <c r="B1619"/>
    </row>
    <row r="1620" spans="2:2" x14ac:dyDescent="0.3">
      <c r="B1620"/>
    </row>
    <row r="1621" spans="2:2" x14ac:dyDescent="0.3">
      <c r="B1621"/>
    </row>
    <row r="1622" spans="2:2" x14ac:dyDescent="0.3">
      <c r="B1622"/>
    </row>
    <row r="1623" spans="2:2" x14ac:dyDescent="0.3">
      <c r="B1623"/>
    </row>
    <row r="1624" spans="2:2" x14ac:dyDescent="0.3">
      <c r="B1624"/>
    </row>
    <row r="1625" spans="2:2" x14ac:dyDescent="0.3">
      <c r="B1625"/>
    </row>
    <row r="1626" spans="2:2" x14ac:dyDescent="0.3">
      <c r="B1626"/>
    </row>
    <row r="1627" spans="2:2" x14ac:dyDescent="0.3">
      <c r="B1627"/>
    </row>
    <row r="1628" spans="2:2" x14ac:dyDescent="0.3">
      <c r="B1628"/>
    </row>
    <row r="1629" spans="2:2" x14ac:dyDescent="0.3">
      <c r="B1629"/>
    </row>
    <row r="1630" spans="2:2" x14ac:dyDescent="0.3">
      <c r="B1630"/>
    </row>
    <row r="1631" spans="2:2" x14ac:dyDescent="0.3">
      <c r="B1631"/>
    </row>
    <row r="1632" spans="2:2" x14ac:dyDescent="0.3">
      <c r="B1632"/>
    </row>
    <row r="1633" spans="2:2" x14ac:dyDescent="0.3">
      <c r="B1633"/>
    </row>
    <row r="1634" spans="2:2" x14ac:dyDescent="0.3">
      <c r="B1634"/>
    </row>
    <row r="1635" spans="2:2" x14ac:dyDescent="0.3">
      <c r="B1635"/>
    </row>
    <row r="1636" spans="2:2" x14ac:dyDescent="0.3">
      <c r="B1636"/>
    </row>
    <row r="1637" spans="2:2" x14ac:dyDescent="0.3">
      <c r="B1637"/>
    </row>
    <row r="1638" spans="2:2" x14ac:dyDescent="0.3">
      <c r="B1638"/>
    </row>
    <row r="1639" spans="2:2" x14ac:dyDescent="0.3">
      <c r="B1639"/>
    </row>
    <row r="1640" spans="2:2" x14ac:dyDescent="0.3">
      <c r="B1640"/>
    </row>
    <row r="1641" spans="2:2" x14ac:dyDescent="0.3">
      <c r="B1641"/>
    </row>
    <row r="1642" spans="2:2" x14ac:dyDescent="0.3">
      <c r="B1642"/>
    </row>
    <row r="1643" spans="2:2" x14ac:dyDescent="0.3">
      <c r="B1643"/>
    </row>
    <row r="1644" spans="2:2" x14ac:dyDescent="0.3">
      <c r="B1644"/>
    </row>
    <row r="1645" spans="2:2" x14ac:dyDescent="0.3">
      <c r="B1645"/>
    </row>
    <row r="1646" spans="2:2" x14ac:dyDescent="0.3">
      <c r="B1646"/>
    </row>
    <row r="1647" spans="2:2" x14ac:dyDescent="0.3">
      <c r="B1647"/>
    </row>
    <row r="1648" spans="2:2" x14ac:dyDescent="0.3">
      <c r="B1648"/>
    </row>
    <row r="1649" spans="2:2" x14ac:dyDescent="0.3">
      <c r="B1649"/>
    </row>
    <row r="1650" spans="2:2" x14ac:dyDescent="0.3">
      <c r="B1650"/>
    </row>
    <row r="1651" spans="2:2" x14ac:dyDescent="0.3">
      <c r="B1651"/>
    </row>
    <row r="1652" spans="2:2" x14ac:dyDescent="0.3">
      <c r="B1652"/>
    </row>
    <row r="1653" spans="2:2" x14ac:dyDescent="0.3">
      <c r="B1653"/>
    </row>
    <row r="1654" spans="2:2" x14ac:dyDescent="0.3">
      <c r="B1654"/>
    </row>
    <row r="1655" spans="2:2" x14ac:dyDescent="0.3">
      <c r="B1655"/>
    </row>
    <row r="1656" spans="2:2" x14ac:dyDescent="0.3">
      <c r="B1656"/>
    </row>
    <row r="1657" spans="2:2" x14ac:dyDescent="0.3">
      <c r="B1657"/>
    </row>
    <row r="1658" spans="2:2" x14ac:dyDescent="0.3">
      <c r="B1658"/>
    </row>
    <row r="1659" spans="2:2" x14ac:dyDescent="0.3">
      <c r="B1659"/>
    </row>
    <row r="1660" spans="2:2" x14ac:dyDescent="0.3">
      <c r="B1660"/>
    </row>
    <row r="1661" spans="2:2" x14ac:dyDescent="0.3">
      <c r="B1661"/>
    </row>
    <row r="1662" spans="2:2" x14ac:dyDescent="0.3">
      <c r="B1662"/>
    </row>
    <row r="1663" spans="2:2" x14ac:dyDescent="0.3">
      <c r="B1663"/>
    </row>
    <row r="1664" spans="2:2" x14ac:dyDescent="0.3">
      <c r="B1664"/>
    </row>
    <row r="1665" spans="2:2" x14ac:dyDescent="0.3">
      <c r="B1665"/>
    </row>
    <row r="1666" spans="2:2" x14ac:dyDescent="0.3">
      <c r="B1666"/>
    </row>
    <row r="1667" spans="2:2" x14ac:dyDescent="0.3">
      <c r="B1667"/>
    </row>
    <row r="1668" spans="2:2" x14ac:dyDescent="0.3">
      <c r="B1668"/>
    </row>
    <row r="1669" spans="2:2" x14ac:dyDescent="0.3">
      <c r="B1669"/>
    </row>
    <row r="1670" spans="2:2" x14ac:dyDescent="0.3">
      <c r="B1670"/>
    </row>
    <row r="1671" spans="2:2" x14ac:dyDescent="0.3">
      <c r="B1671"/>
    </row>
    <row r="1672" spans="2:2" x14ac:dyDescent="0.3">
      <c r="B1672"/>
    </row>
    <row r="1673" spans="2:2" x14ac:dyDescent="0.3">
      <c r="B1673"/>
    </row>
    <row r="1674" spans="2:2" x14ac:dyDescent="0.3">
      <c r="B1674"/>
    </row>
    <row r="1675" spans="2:2" x14ac:dyDescent="0.3">
      <c r="B1675"/>
    </row>
    <row r="1676" spans="2:2" x14ac:dyDescent="0.3">
      <c r="B1676"/>
    </row>
    <row r="1677" spans="2:2" x14ac:dyDescent="0.3">
      <c r="B1677"/>
    </row>
    <row r="1678" spans="2:2" x14ac:dyDescent="0.3">
      <c r="B1678"/>
    </row>
    <row r="1679" spans="2:2" x14ac:dyDescent="0.3">
      <c r="B1679"/>
    </row>
    <row r="1680" spans="2:2" x14ac:dyDescent="0.3">
      <c r="B1680"/>
    </row>
    <row r="1681" spans="2:2" x14ac:dyDescent="0.3">
      <c r="B1681"/>
    </row>
    <row r="1682" spans="2:2" x14ac:dyDescent="0.3">
      <c r="B1682"/>
    </row>
    <row r="1683" spans="2:2" x14ac:dyDescent="0.3">
      <c r="B1683"/>
    </row>
    <row r="1684" spans="2:2" x14ac:dyDescent="0.3">
      <c r="B1684"/>
    </row>
    <row r="1685" spans="2:2" x14ac:dyDescent="0.3">
      <c r="B1685"/>
    </row>
    <row r="1686" spans="2:2" x14ac:dyDescent="0.3">
      <c r="B1686"/>
    </row>
    <row r="1687" spans="2:2" x14ac:dyDescent="0.3">
      <c r="B1687"/>
    </row>
    <row r="1688" spans="2:2" x14ac:dyDescent="0.3">
      <c r="B1688"/>
    </row>
    <row r="1689" spans="2:2" x14ac:dyDescent="0.3">
      <c r="B1689"/>
    </row>
    <row r="1690" spans="2:2" x14ac:dyDescent="0.3">
      <c r="B1690"/>
    </row>
    <row r="1691" spans="2:2" x14ac:dyDescent="0.3">
      <c r="B1691"/>
    </row>
    <row r="1692" spans="2:2" x14ac:dyDescent="0.3">
      <c r="B1692"/>
    </row>
    <row r="1693" spans="2:2" x14ac:dyDescent="0.3">
      <c r="B1693"/>
    </row>
    <row r="1694" spans="2:2" x14ac:dyDescent="0.3">
      <c r="B1694"/>
    </row>
    <row r="1695" spans="2:2" x14ac:dyDescent="0.3">
      <c r="B1695"/>
    </row>
    <row r="1696" spans="2:2" x14ac:dyDescent="0.3">
      <c r="B1696"/>
    </row>
    <row r="1697" spans="2:2" x14ac:dyDescent="0.3">
      <c r="B1697"/>
    </row>
    <row r="1698" spans="2:2" x14ac:dyDescent="0.3">
      <c r="B1698"/>
    </row>
    <row r="1699" spans="2:2" x14ac:dyDescent="0.3">
      <c r="B1699"/>
    </row>
    <row r="1700" spans="2:2" x14ac:dyDescent="0.3">
      <c r="B1700"/>
    </row>
    <row r="1701" spans="2:2" x14ac:dyDescent="0.3">
      <c r="B1701"/>
    </row>
    <row r="1702" spans="2:2" x14ac:dyDescent="0.3">
      <c r="B1702"/>
    </row>
    <row r="1703" spans="2:2" x14ac:dyDescent="0.3">
      <c r="B1703"/>
    </row>
    <row r="1704" spans="2:2" x14ac:dyDescent="0.3">
      <c r="B1704"/>
    </row>
    <row r="1705" spans="2:2" x14ac:dyDescent="0.3">
      <c r="B1705"/>
    </row>
    <row r="1706" spans="2:2" x14ac:dyDescent="0.3">
      <c r="B1706"/>
    </row>
    <row r="1707" spans="2:2" x14ac:dyDescent="0.3">
      <c r="B1707"/>
    </row>
    <row r="1708" spans="2:2" x14ac:dyDescent="0.3">
      <c r="B1708"/>
    </row>
    <row r="1709" spans="2:2" x14ac:dyDescent="0.3">
      <c r="B1709"/>
    </row>
    <row r="1710" spans="2:2" x14ac:dyDescent="0.3">
      <c r="B1710"/>
    </row>
    <row r="1711" spans="2:2" x14ac:dyDescent="0.3">
      <c r="B1711"/>
    </row>
    <row r="1712" spans="2:2" x14ac:dyDescent="0.3">
      <c r="B1712"/>
    </row>
    <row r="1713" spans="2:2" x14ac:dyDescent="0.3">
      <c r="B1713"/>
    </row>
    <row r="1714" spans="2:2" x14ac:dyDescent="0.3">
      <c r="B1714"/>
    </row>
    <row r="1715" spans="2:2" x14ac:dyDescent="0.3">
      <c r="B1715"/>
    </row>
    <row r="1716" spans="2:2" x14ac:dyDescent="0.3">
      <c r="B1716"/>
    </row>
    <row r="1717" spans="2:2" x14ac:dyDescent="0.3">
      <c r="B1717"/>
    </row>
    <row r="1718" spans="2:2" x14ac:dyDescent="0.3">
      <c r="B1718"/>
    </row>
    <row r="1719" spans="2:2" x14ac:dyDescent="0.3">
      <c r="B1719"/>
    </row>
    <row r="1720" spans="2:2" x14ac:dyDescent="0.3">
      <c r="B1720"/>
    </row>
    <row r="1721" spans="2:2" x14ac:dyDescent="0.3">
      <c r="B1721"/>
    </row>
    <row r="1722" spans="2:2" x14ac:dyDescent="0.3">
      <c r="B1722"/>
    </row>
    <row r="1723" spans="2:2" x14ac:dyDescent="0.3">
      <c r="B1723"/>
    </row>
    <row r="1724" spans="2:2" x14ac:dyDescent="0.3">
      <c r="B1724"/>
    </row>
    <row r="1725" spans="2:2" x14ac:dyDescent="0.3">
      <c r="B1725"/>
    </row>
    <row r="1726" spans="2:2" x14ac:dyDescent="0.3">
      <c r="B1726"/>
    </row>
    <row r="1727" spans="2:2" x14ac:dyDescent="0.3">
      <c r="B1727"/>
    </row>
    <row r="1728" spans="2:2" x14ac:dyDescent="0.3">
      <c r="B1728"/>
    </row>
    <row r="1729" spans="2:2" x14ac:dyDescent="0.3">
      <c r="B1729"/>
    </row>
    <row r="1730" spans="2:2" x14ac:dyDescent="0.3">
      <c r="B1730"/>
    </row>
    <row r="1731" spans="2:2" x14ac:dyDescent="0.3">
      <c r="B1731"/>
    </row>
    <row r="1732" spans="2:2" x14ac:dyDescent="0.3">
      <c r="B1732"/>
    </row>
    <row r="1733" spans="2:2" x14ac:dyDescent="0.3">
      <c r="B1733"/>
    </row>
    <row r="1734" spans="2:2" x14ac:dyDescent="0.3">
      <c r="B1734"/>
    </row>
    <row r="1735" spans="2:2" x14ac:dyDescent="0.3">
      <c r="B1735"/>
    </row>
    <row r="1736" spans="2:2" x14ac:dyDescent="0.3">
      <c r="B1736"/>
    </row>
    <row r="1737" spans="2:2" x14ac:dyDescent="0.3">
      <c r="B1737"/>
    </row>
    <row r="1738" spans="2:2" x14ac:dyDescent="0.3">
      <c r="B1738"/>
    </row>
    <row r="1739" spans="2:2" x14ac:dyDescent="0.3">
      <c r="B1739"/>
    </row>
    <row r="1740" spans="2:2" x14ac:dyDescent="0.3">
      <c r="B1740"/>
    </row>
    <row r="1741" spans="2:2" x14ac:dyDescent="0.3">
      <c r="B1741"/>
    </row>
    <row r="1742" spans="2:2" x14ac:dyDescent="0.3">
      <c r="B1742"/>
    </row>
    <row r="1743" spans="2:2" x14ac:dyDescent="0.3">
      <c r="B1743"/>
    </row>
    <row r="1744" spans="2:2" x14ac:dyDescent="0.3">
      <c r="B1744"/>
    </row>
    <row r="1745" spans="2:2" x14ac:dyDescent="0.3">
      <c r="B1745"/>
    </row>
    <row r="1746" spans="2:2" x14ac:dyDescent="0.3">
      <c r="B1746"/>
    </row>
    <row r="1747" spans="2:2" x14ac:dyDescent="0.3">
      <c r="B1747"/>
    </row>
    <row r="1748" spans="2:2" x14ac:dyDescent="0.3">
      <c r="B1748"/>
    </row>
    <row r="1749" spans="2:2" x14ac:dyDescent="0.3">
      <c r="B1749"/>
    </row>
    <row r="1750" spans="2:2" x14ac:dyDescent="0.3">
      <c r="B1750"/>
    </row>
    <row r="1751" spans="2:2" x14ac:dyDescent="0.3">
      <c r="B1751"/>
    </row>
    <row r="1752" spans="2:2" x14ac:dyDescent="0.3">
      <c r="B1752"/>
    </row>
    <row r="1753" spans="2:2" x14ac:dyDescent="0.3">
      <c r="B1753"/>
    </row>
    <row r="1754" spans="2:2" x14ac:dyDescent="0.3">
      <c r="B1754"/>
    </row>
    <row r="1755" spans="2:2" x14ac:dyDescent="0.3">
      <c r="B1755"/>
    </row>
    <row r="1756" spans="2:2" x14ac:dyDescent="0.3">
      <c r="B1756"/>
    </row>
    <row r="1757" spans="2:2" x14ac:dyDescent="0.3">
      <c r="B1757"/>
    </row>
    <row r="1758" spans="2:2" x14ac:dyDescent="0.3">
      <c r="B1758"/>
    </row>
    <row r="1759" spans="2:2" x14ac:dyDescent="0.3">
      <c r="B1759"/>
    </row>
    <row r="1760" spans="2:2" x14ac:dyDescent="0.3">
      <c r="B1760"/>
    </row>
    <row r="1761" spans="2:2" x14ac:dyDescent="0.3">
      <c r="B1761"/>
    </row>
    <row r="1762" spans="2:2" x14ac:dyDescent="0.3">
      <c r="B1762"/>
    </row>
    <row r="1763" spans="2:2" x14ac:dyDescent="0.3">
      <c r="B1763"/>
    </row>
    <row r="1764" spans="2:2" x14ac:dyDescent="0.3">
      <c r="B1764"/>
    </row>
    <row r="1765" spans="2:2" x14ac:dyDescent="0.3">
      <c r="B1765"/>
    </row>
    <row r="1766" spans="2:2" x14ac:dyDescent="0.3">
      <c r="B1766"/>
    </row>
    <row r="1767" spans="2:2" x14ac:dyDescent="0.3">
      <c r="B1767"/>
    </row>
    <row r="1768" spans="2:2" x14ac:dyDescent="0.3">
      <c r="B1768"/>
    </row>
    <row r="1769" spans="2:2" x14ac:dyDescent="0.3">
      <c r="B1769"/>
    </row>
    <row r="1770" spans="2:2" x14ac:dyDescent="0.3">
      <c r="B1770"/>
    </row>
    <row r="1771" spans="2:2" x14ac:dyDescent="0.3">
      <c r="B1771"/>
    </row>
    <row r="1772" spans="2:2" x14ac:dyDescent="0.3">
      <c r="B1772"/>
    </row>
    <row r="1773" spans="2:2" x14ac:dyDescent="0.3">
      <c r="B1773"/>
    </row>
    <row r="1774" spans="2:2" x14ac:dyDescent="0.3">
      <c r="B1774"/>
    </row>
    <row r="1775" spans="2:2" x14ac:dyDescent="0.3">
      <c r="B1775"/>
    </row>
    <row r="1776" spans="2:2" x14ac:dyDescent="0.3">
      <c r="B1776"/>
    </row>
    <row r="1777" spans="2:2" x14ac:dyDescent="0.3">
      <c r="B1777"/>
    </row>
    <row r="1778" spans="2:2" x14ac:dyDescent="0.3">
      <c r="B1778"/>
    </row>
    <row r="1779" spans="2:2" x14ac:dyDescent="0.3">
      <c r="B1779"/>
    </row>
    <row r="1780" spans="2:2" x14ac:dyDescent="0.3">
      <c r="B1780"/>
    </row>
    <row r="1781" spans="2:2" x14ac:dyDescent="0.3">
      <c r="B1781"/>
    </row>
    <row r="1782" spans="2:2" x14ac:dyDescent="0.3">
      <c r="B1782"/>
    </row>
    <row r="1783" spans="2:2" x14ac:dyDescent="0.3">
      <c r="B1783"/>
    </row>
    <row r="1784" spans="2:2" x14ac:dyDescent="0.3">
      <c r="B1784"/>
    </row>
    <row r="1785" spans="2:2" x14ac:dyDescent="0.3">
      <c r="B1785"/>
    </row>
    <row r="1786" spans="2:2" x14ac:dyDescent="0.3">
      <c r="B1786"/>
    </row>
    <row r="1787" spans="2:2" x14ac:dyDescent="0.3">
      <c r="B1787"/>
    </row>
    <row r="1788" spans="2:2" x14ac:dyDescent="0.3">
      <c r="B1788"/>
    </row>
    <row r="1789" spans="2:2" x14ac:dyDescent="0.3">
      <c r="B1789"/>
    </row>
    <row r="1790" spans="2:2" x14ac:dyDescent="0.3">
      <c r="B1790"/>
    </row>
    <row r="1791" spans="2:2" x14ac:dyDescent="0.3">
      <c r="B1791"/>
    </row>
    <row r="1792" spans="2:2" x14ac:dyDescent="0.3">
      <c r="B1792"/>
    </row>
    <row r="1793" spans="2:2" x14ac:dyDescent="0.3">
      <c r="B1793"/>
    </row>
    <row r="1794" spans="2:2" x14ac:dyDescent="0.3">
      <c r="B1794"/>
    </row>
    <row r="1795" spans="2:2" x14ac:dyDescent="0.3">
      <c r="B1795"/>
    </row>
    <row r="1796" spans="2:2" x14ac:dyDescent="0.3">
      <c r="B1796"/>
    </row>
    <row r="1797" spans="2:2" x14ac:dyDescent="0.3">
      <c r="B1797"/>
    </row>
    <row r="1798" spans="2:2" x14ac:dyDescent="0.3">
      <c r="B1798"/>
    </row>
    <row r="1799" spans="2:2" x14ac:dyDescent="0.3">
      <c r="B1799"/>
    </row>
    <row r="1800" spans="2:2" x14ac:dyDescent="0.3">
      <c r="B1800"/>
    </row>
    <row r="1801" spans="2:2" x14ac:dyDescent="0.3">
      <c r="B1801"/>
    </row>
    <row r="1802" spans="2:2" x14ac:dyDescent="0.3">
      <c r="B1802"/>
    </row>
    <row r="1803" spans="2:2" x14ac:dyDescent="0.3">
      <c r="B1803"/>
    </row>
    <row r="1804" spans="2:2" x14ac:dyDescent="0.3">
      <c r="B1804"/>
    </row>
    <row r="1805" spans="2:2" x14ac:dyDescent="0.3">
      <c r="B1805"/>
    </row>
    <row r="1806" spans="2:2" x14ac:dyDescent="0.3">
      <c r="B1806"/>
    </row>
    <row r="1807" spans="2:2" x14ac:dyDescent="0.3">
      <c r="B1807"/>
    </row>
    <row r="1808" spans="2:2" x14ac:dyDescent="0.3">
      <c r="B1808"/>
    </row>
    <row r="1809" spans="2:2" x14ac:dyDescent="0.3">
      <c r="B1809"/>
    </row>
    <row r="1810" spans="2:2" x14ac:dyDescent="0.3">
      <c r="B1810"/>
    </row>
    <row r="1811" spans="2:2" x14ac:dyDescent="0.3">
      <c r="B1811"/>
    </row>
    <row r="1812" spans="2:2" x14ac:dyDescent="0.3">
      <c r="B1812"/>
    </row>
    <row r="1813" spans="2:2" x14ac:dyDescent="0.3">
      <c r="B1813"/>
    </row>
    <row r="1814" spans="2:2" x14ac:dyDescent="0.3">
      <c r="B1814"/>
    </row>
    <row r="1815" spans="2:2" x14ac:dyDescent="0.3">
      <c r="B1815"/>
    </row>
    <row r="1816" spans="2:2" x14ac:dyDescent="0.3">
      <c r="B1816"/>
    </row>
    <row r="1817" spans="2:2" x14ac:dyDescent="0.3">
      <c r="B1817"/>
    </row>
    <row r="1818" spans="2:2" x14ac:dyDescent="0.3">
      <c r="B1818"/>
    </row>
    <row r="1819" spans="2:2" x14ac:dyDescent="0.3">
      <c r="B1819"/>
    </row>
    <row r="1820" spans="2:2" x14ac:dyDescent="0.3">
      <c r="B1820"/>
    </row>
    <row r="1821" spans="2:2" x14ac:dyDescent="0.3">
      <c r="B1821"/>
    </row>
    <row r="1822" spans="2:2" x14ac:dyDescent="0.3">
      <c r="B1822"/>
    </row>
    <row r="1823" spans="2:2" x14ac:dyDescent="0.3">
      <c r="B1823"/>
    </row>
    <row r="1824" spans="2:2" x14ac:dyDescent="0.3">
      <c r="B1824"/>
    </row>
    <row r="1825" spans="2:2" x14ac:dyDescent="0.3">
      <c r="B1825"/>
    </row>
    <row r="1826" spans="2:2" x14ac:dyDescent="0.3">
      <c r="B1826"/>
    </row>
    <row r="1827" spans="2:2" x14ac:dyDescent="0.3">
      <c r="B1827"/>
    </row>
    <row r="1828" spans="2:2" x14ac:dyDescent="0.3">
      <c r="B1828"/>
    </row>
    <row r="1829" spans="2:2" x14ac:dyDescent="0.3">
      <c r="B1829"/>
    </row>
    <row r="1830" spans="2:2" x14ac:dyDescent="0.3">
      <c r="B1830"/>
    </row>
    <row r="1831" spans="2:2" x14ac:dyDescent="0.3">
      <c r="B1831"/>
    </row>
    <row r="1832" spans="2:2" x14ac:dyDescent="0.3">
      <c r="B1832"/>
    </row>
    <row r="1833" spans="2:2" x14ac:dyDescent="0.3">
      <c r="B1833"/>
    </row>
    <row r="1834" spans="2:2" x14ac:dyDescent="0.3">
      <c r="B1834"/>
    </row>
    <row r="1835" spans="2:2" x14ac:dyDescent="0.3">
      <c r="B1835"/>
    </row>
    <row r="1836" spans="2:2" x14ac:dyDescent="0.3">
      <c r="B1836"/>
    </row>
    <row r="1837" spans="2:2" x14ac:dyDescent="0.3">
      <c r="B1837"/>
    </row>
    <row r="1838" spans="2:2" x14ac:dyDescent="0.3">
      <c r="B1838"/>
    </row>
    <row r="1839" spans="2:2" x14ac:dyDescent="0.3">
      <c r="B1839"/>
    </row>
    <row r="1840" spans="2:2" x14ac:dyDescent="0.3">
      <c r="B1840"/>
    </row>
    <row r="1841" spans="2:2" x14ac:dyDescent="0.3">
      <c r="B1841"/>
    </row>
    <row r="1842" spans="2:2" x14ac:dyDescent="0.3">
      <c r="B1842"/>
    </row>
    <row r="1843" spans="2:2" x14ac:dyDescent="0.3">
      <c r="B1843"/>
    </row>
    <row r="1844" spans="2:2" x14ac:dyDescent="0.3">
      <c r="B1844"/>
    </row>
    <row r="1845" spans="2:2" x14ac:dyDescent="0.3">
      <c r="B1845"/>
    </row>
    <row r="1846" spans="2:2" x14ac:dyDescent="0.3">
      <c r="B1846"/>
    </row>
    <row r="1847" spans="2:2" x14ac:dyDescent="0.3">
      <c r="B1847"/>
    </row>
    <row r="1848" spans="2:2" x14ac:dyDescent="0.3">
      <c r="B1848"/>
    </row>
    <row r="1849" spans="2:2" x14ac:dyDescent="0.3">
      <c r="B1849"/>
    </row>
    <row r="1850" spans="2:2" x14ac:dyDescent="0.3">
      <c r="B1850"/>
    </row>
    <row r="1851" spans="2:2" x14ac:dyDescent="0.3">
      <c r="B1851"/>
    </row>
    <row r="1852" spans="2:2" x14ac:dyDescent="0.3">
      <c r="B1852"/>
    </row>
    <row r="1853" spans="2:2" x14ac:dyDescent="0.3">
      <c r="B1853"/>
    </row>
    <row r="1854" spans="2:2" x14ac:dyDescent="0.3">
      <c r="B1854"/>
    </row>
    <row r="1855" spans="2:2" x14ac:dyDescent="0.3">
      <c r="B1855"/>
    </row>
    <row r="1856" spans="2:2" x14ac:dyDescent="0.3">
      <c r="B1856"/>
    </row>
    <row r="1857" spans="2:2" x14ac:dyDescent="0.3">
      <c r="B1857"/>
    </row>
    <row r="1858" spans="2:2" x14ac:dyDescent="0.3">
      <c r="B1858"/>
    </row>
    <row r="1859" spans="2:2" x14ac:dyDescent="0.3">
      <c r="B1859"/>
    </row>
    <row r="1860" spans="2:2" x14ac:dyDescent="0.3">
      <c r="B1860"/>
    </row>
    <row r="1861" spans="2:2" x14ac:dyDescent="0.3">
      <c r="B1861"/>
    </row>
    <row r="1862" spans="2:2" x14ac:dyDescent="0.3">
      <c r="B1862"/>
    </row>
    <row r="1863" spans="2:2" x14ac:dyDescent="0.3">
      <c r="B1863"/>
    </row>
    <row r="1864" spans="2:2" x14ac:dyDescent="0.3">
      <c r="B1864"/>
    </row>
    <row r="1865" spans="2:2" x14ac:dyDescent="0.3">
      <c r="B1865"/>
    </row>
    <row r="1866" spans="2:2" x14ac:dyDescent="0.3">
      <c r="B1866"/>
    </row>
    <row r="1867" spans="2:2" x14ac:dyDescent="0.3">
      <c r="B1867"/>
    </row>
    <row r="1868" spans="2:2" x14ac:dyDescent="0.3">
      <c r="B1868"/>
    </row>
    <row r="1869" spans="2:2" x14ac:dyDescent="0.3">
      <c r="B1869"/>
    </row>
    <row r="1870" spans="2:2" x14ac:dyDescent="0.3">
      <c r="B1870"/>
    </row>
    <row r="1871" spans="2:2" x14ac:dyDescent="0.3">
      <c r="B1871"/>
    </row>
    <row r="1872" spans="2:2" x14ac:dyDescent="0.3">
      <c r="B1872"/>
    </row>
    <row r="1873" spans="2:2" x14ac:dyDescent="0.3">
      <c r="B1873"/>
    </row>
    <row r="1874" spans="2:2" x14ac:dyDescent="0.3">
      <c r="B1874"/>
    </row>
    <row r="1875" spans="2:2" x14ac:dyDescent="0.3">
      <c r="B1875"/>
    </row>
    <row r="1876" spans="2:2" x14ac:dyDescent="0.3">
      <c r="B1876"/>
    </row>
    <row r="1877" spans="2:2" x14ac:dyDescent="0.3">
      <c r="B1877"/>
    </row>
    <row r="1878" spans="2:2" x14ac:dyDescent="0.3">
      <c r="B1878"/>
    </row>
    <row r="1879" spans="2:2" x14ac:dyDescent="0.3">
      <c r="B1879"/>
    </row>
    <row r="1880" spans="2:2" x14ac:dyDescent="0.3">
      <c r="B1880"/>
    </row>
    <row r="1881" spans="2:2" x14ac:dyDescent="0.3">
      <c r="B1881"/>
    </row>
    <row r="1882" spans="2:2" x14ac:dyDescent="0.3">
      <c r="B1882"/>
    </row>
    <row r="1883" spans="2:2" x14ac:dyDescent="0.3">
      <c r="B1883"/>
    </row>
    <row r="1884" spans="2:2" x14ac:dyDescent="0.3">
      <c r="B1884"/>
    </row>
    <row r="1885" spans="2:2" x14ac:dyDescent="0.3">
      <c r="B1885"/>
    </row>
    <row r="1886" spans="2:2" x14ac:dyDescent="0.3">
      <c r="B1886"/>
    </row>
    <row r="1887" spans="2:2" x14ac:dyDescent="0.3">
      <c r="B1887"/>
    </row>
    <row r="1888" spans="2:2" x14ac:dyDescent="0.3">
      <c r="B1888"/>
    </row>
    <row r="1889" spans="2:2" x14ac:dyDescent="0.3">
      <c r="B1889"/>
    </row>
    <row r="1890" spans="2:2" x14ac:dyDescent="0.3">
      <c r="B1890"/>
    </row>
    <row r="1891" spans="2:2" x14ac:dyDescent="0.3">
      <c r="B1891"/>
    </row>
    <row r="1892" spans="2:2" x14ac:dyDescent="0.3">
      <c r="B1892"/>
    </row>
    <row r="1893" spans="2:2" x14ac:dyDescent="0.3">
      <c r="B1893"/>
    </row>
    <row r="1894" spans="2:2" x14ac:dyDescent="0.3">
      <c r="B1894"/>
    </row>
    <row r="1895" spans="2:2" x14ac:dyDescent="0.3">
      <c r="B1895"/>
    </row>
    <row r="1896" spans="2:2" x14ac:dyDescent="0.3">
      <c r="B1896"/>
    </row>
    <row r="1897" spans="2:2" x14ac:dyDescent="0.3">
      <c r="B1897"/>
    </row>
    <row r="1898" spans="2:2" x14ac:dyDescent="0.3">
      <c r="B1898"/>
    </row>
    <row r="1899" spans="2:2" x14ac:dyDescent="0.3">
      <c r="B1899"/>
    </row>
    <row r="1900" spans="2:2" x14ac:dyDescent="0.3">
      <c r="B1900"/>
    </row>
    <row r="1901" spans="2:2" x14ac:dyDescent="0.3">
      <c r="B1901"/>
    </row>
    <row r="1902" spans="2:2" x14ac:dyDescent="0.3">
      <c r="B1902"/>
    </row>
    <row r="1903" spans="2:2" x14ac:dyDescent="0.3">
      <c r="B1903"/>
    </row>
    <row r="1904" spans="2:2" x14ac:dyDescent="0.3">
      <c r="B1904"/>
    </row>
    <row r="1905" spans="2:2" x14ac:dyDescent="0.3">
      <c r="B1905"/>
    </row>
    <row r="1906" spans="2:2" x14ac:dyDescent="0.3">
      <c r="B1906"/>
    </row>
    <row r="1907" spans="2:2" x14ac:dyDescent="0.3">
      <c r="B1907"/>
    </row>
    <row r="1908" spans="2:2" x14ac:dyDescent="0.3">
      <c r="B1908"/>
    </row>
    <row r="1909" spans="2:2" x14ac:dyDescent="0.3">
      <c r="B1909"/>
    </row>
    <row r="1910" spans="2:2" x14ac:dyDescent="0.3">
      <c r="B1910"/>
    </row>
    <row r="1911" spans="2:2" x14ac:dyDescent="0.3">
      <c r="B1911"/>
    </row>
    <row r="1912" spans="2:2" x14ac:dyDescent="0.3">
      <c r="B1912"/>
    </row>
    <row r="1913" spans="2:2" x14ac:dyDescent="0.3">
      <c r="B1913"/>
    </row>
    <row r="1914" spans="2:2" x14ac:dyDescent="0.3">
      <c r="B1914"/>
    </row>
    <row r="1915" spans="2:2" x14ac:dyDescent="0.3">
      <c r="B1915"/>
    </row>
    <row r="1916" spans="2:2" x14ac:dyDescent="0.3">
      <c r="B1916"/>
    </row>
    <row r="1917" spans="2:2" x14ac:dyDescent="0.3">
      <c r="B1917"/>
    </row>
    <row r="1918" spans="2:2" x14ac:dyDescent="0.3">
      <c r="B1918"/>
    </row>
    <row r="1919" spans="2:2" x14ac:dyDescent="0.3">
      <c r="B1919"/>
    </row>
    <row r="1920" spans="2:2" x14ac:dyDescent="0.3">
      <c r="B1920"/>
    </row>
    <row r="1921" spans="2:2" x14ac:dyDescent="0.3">
      <c r="B1921"/>
    </row>
    <row r="1922" spans="2:2" x14ac:dyDescent="0.3">
      <c r="B1922"/>
    </row>
    <row r="1923" spans="2:2" x14ac:dyDescent="0.3">
      <c r="B1923"/>
    </row>
    <row r="1924" spans="2:2" x14ac:dyDescent="0.3">
      <c r="B1924"/>
    </row>
    <row r="1925" spans="2:2" x14ac:dyDescent="0.3">
      <c r="B1925"/>
    </row>
    <row r="1926" spans="2:2" x14ac:dyDescent="0.3">
      <c r="B1926"/>
    </row>
    <row r="1927" spans="2:2" x14ac:dyDescent="0.3">
      <c r="B1927"/>
    </row>
    <row r="1928" spans="2:2" x14ac:dyDescent="0.3">
      <c r="B1928"/>
    </row>
    <row r="1929" spans="2:2" x14ac:dyDescent="0.3">
      <c r="B1929"/>
    </row>
    <row r="1930" spans="2:2" x14ac:dyDescent="0.3">
      <c r="B1930"/>
    </row>
    <row r="1931" spans="2:2" x14ac:dyDescent="0.3">
      <c r="B1931"/>
    </row>
    <row r="1932" spans="2:2" x14ac:dyDescent="0.3">
      <c r="B1932"/>
    </row>
    <row r="1933" spans="2:2" x14ac:dyDescent="0.3">
      <c r="B1933"/>
    </row>
    <row r="1934" spans="2:2" x14ac:dyDescent="0.3">
      <c r="B1934"/>
    </row>
    <row r="1935" spans="2:2" x14ac:dyDescent="0.3">
      <c r="B1935"/>
    </row>
    <row r="1936" spans="2:2" x14ac:dyDescent="0.3">
      <c r="B1936"/>
    </row>
    <row r="1937" spans="2:2" x14ac:dyDescent="0.3">
      <c r="B1937"/>
    </row>
    <row r="1938" spans="2:2" x14ac:dyDescent="0.3">
      <c r="B1938"/>
    </row>
    <row r="1939" spans="2:2" x14ac:dyDescent="0.3">
      <c r="B1939"/>
    </row>
    <row r="1940" spans="2:2" x14ac:dyDescent="0.3">
      <c r="B1940"/>
    </row>
    <row r="1941" spans="2:2" x14ac:dyDescent="0.3">
      <c r="B1941"/>
    </row>
    <row r="1942" spans="2:2" x14ac:dyDescent="0.3">
      <c r="B1942"/>
    </row>
    <row r="1943" spans="2:2" x14ac:dyDescent="0.3">
      <c r="B1943"/>
    </row>
    <row r="1944" spans="2:2" x14ac:dyDescent="0.3">
      <c r="B1944"/>
    </row>
    <row r="1945" spans="2:2" x14ac:dyDescent="0.3">
      <c r="B1945"/>
    </row>
    <row r="1946" spans="2:2" x14ac:dyDescent="0.3">
      <c r="B1946"/>
    </row>
    <row r="1947" spans="2:2" x14ac:dyDescent="0.3">
      <c r="B1947"/>
    </row>
    <row r="1948" spans="2:2" x14ac:dyDescent="0.3">
      <c r="B1948"/>
    </row>
    <row r="1949" spans="2:2" x14ac:dyDescent="0.3">
      <c r="B1949"/>
    </row>
    <row r="1950" spans="2:2" x14ac:dyDescent="0.3">
      <c r="B1950"/>
    </row>
    <row r="1951" spans="2:2" x14ac:dyDescent="0.3">
      <c r="B1951"/>
    </row>
    <row r="1952" spans="2:2" x14ac:dyDescent="0.3">
      <c r="B1952"/>
    </row>
    <row r="1953" spans="2:2" x14ac:dyDescent="0.3">
      <c r="B1953"/>
    </row>
    <row r="1954" spans="2:2" x14ac:dyDescent="0.3">
      <c r="B1954"/>
    </row>
    <row r="1955" spans="2:2" x14ac:dyDescent="0.3">
      <c r="B1955"/>
    </row>
    <row r="1956" spans="2:2" x14ac:dyDescent="0.3">
      <c r="B1956"/>
    </row>
    <row r="1957" spans="2:2" x14ac:dyDescent="0.3">
      <c r="B1957"/>
    </row>
    <row r="1958" spans="2:2" x14ac:dyDescent="0.3">
      <c r="B1958"/>
    </row>
    <row r="1959" spans="2:2" x14ac:dyDescent="0.3">
      <c r="B1959"/>
    </row>
    <row r="1960" spans="2:2" x14ac:dyDescent="0.3">
      <c r="B1960"/>
    </row>
    <row r="1961" spans="2:2" x14ac:dyDescent="0.3">
      <c r="B1961"/>
    </row>
    <row r="1962" spans="2:2" x14ac:dyDescent="0.3">
      <c r="B1962"/>
    </row>
    <row r="1963" spans="2:2" x14ac:dyDescent="0.3">
      <c r="B1963"/>
    </row>
    <row r="1964" spans="2:2" x14ac:dyDescent="0.3">
      <c r="B1964"/>
    </row>
    <row r="1965" spans="2:2" x14ac:dyDescent="0.3">
      <c r="B1965"/>
    </row>
    <row r="1966" spans="2:2" x14ac:dyDescent="0.3">
      <c r="B1966"/>
    </row>
    <row r="1967" spans="2:2" x14ac:dyDescent="0.3">
      <c r="B1967"/>
    </row>
    <row r="1968" spans="2:2" x14ac:dyDescent="0.3">
      <c r="B1968"/>
    </row>
    <row r="1969" spans="2:2" x14ac:dyDescent="0.3">
      <c r="B1969"/>
    </row>
    <row r="1970" spans="2:2" x14ac:dyDescent="0.3">
      <c r="B1970"/>
    </row>
    <row r="1971" spans="2:2" x14ac:dyDescent="0.3">
      <c r="B1971"/>
    </row>
    <row r="1972" spans="2:2" x14ac:dyDescent="0.3">
      <c r="B1972"/>
    </row>
    <row r="1973" spans="2:2" x14ac:dyDescent="0.3">
      <c r="B1973"/>
    </row>
    <row r="1974" spans="2:2" x14ac:dyDescent="0.3">
      <c r="B1974"/>
    </row>
    <row r="1975" spans="2:2" x14ac:dyDescent="0.3">
      <c r="B1975"/>
    </row>
    <row r="1976" spans="2:2" x14ac:dyDescent="0.3">
      <c r="B1976"/>
    </row>
    <row r="1977" spans="2:2" x14ac:dyDescent="0.3">
      <c r="B1977"/>
    </row>
    <row r="1978" spans="2:2" x14ac:dyDescent="0.3">
      <c r="B1978"/>
    </row>
    <row r="1979" spans="2:2" x14ac:dyDescent="0.3">
      <c r="B1979"/>
    </row>
    <row r="1980" spans="2:2" x14ac:dyDescent="0.3">
      <c r="B1980"/>
    </row>
    <row r="1981" spans="2:2" x14ac:dyDescent="0.3">
      <c r="B1981"/>
    </row>
    <row r="1982" spans="2:2" x14ac:dyDescent="0.3">
      <c r="B1982"/>
    </row>
    <row r="1983" spans="2:2" x14ac:dyDescent="0.3">
      <c r="B1983"/>
    </row>
    <row r="1984" spans="2:2" x14ac:dyDescent="0.3">
      <c r="B1984"/>
    </row>
    <row r="1985" spans="2:2" x14ac:dyDescent="0.3">
      <c r="B1985"/>
    </row>
    <row r="1986" spans="2:2" x14ac:dyDescent="0.3">
      <c r="B1986"/>
    </row>
    <row r="1987" spans="2:2" x14ac:dyDescent="0.3">
      <c r="B1987"/>
    </row>
    <row r="1988" spans="2:2" x14ac:dyDescent="0.3">
      <c r="B1988"/>
    </row>
    <row r="1989" spans="2:2" x14ac:dyDescent="0.3">
      <c r="B1989"/>
    </row>
    <row r="1990" spans="2:2" x14ac:dyDescent="0.3">
      <c r="B1990"/>
    </row>
    <row r="1991" spans="2:2" x14ac:dyDescent="0.3">
      <c r="B1991"/>
    </row>
    <row r="1992" spans="2:2" x14ac:dyDescent="0.3">
      <c r="B1992"/>
    </row>
    <row r="1993" spans="2:2" x14ac:dyDescent="0.3">
      <c r="B1993"/>
    </row>
    <row r="1994" spans="2:2" x14ac:dyDescent="0.3">
      <c r="B1994"/>
    </row>
    <row r="1995" spans="2:2" x14ac:dyDescent="0.3">
      <c r="B1995"/>
    </row>
    <row r="1996" spans="2:2" x14ac:dyDescent="0.3">
      <c r="B1996"/>
    </row>
    <row r="1997" spans="2:2" x14ac:dyDescent="0.3">
      <c r="B1997"/>
    </row>
    <row r="1998" spans="2:2" x14ac:dyDescent="0.3">
      <c r="B1998"/>
    </row>
    <row r="1999" spans="2:2" x14ac:dyDescent="0.3">
      <c r="B1999"/>
    </row>
    <row r="2000" spans="2:2" x14ac:dyDescent="0.3">
      <c r="B200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54B90-1C95-41FB-90E6-0CD8C39BEDA2}">
  <dimension ref="C7:K54"/>
  <sheetViews>
    <sheetView topLeftCell="G1" zoomScaleNormal="100" workbookViewId="0">
      <selection activeCell="Y12" sqref="Y12"/>
    </sheetView>
  </sheetViews>
  <sheetFormatPr defaultRowHeight="14.4" x14ac:dyDescent="0.3"/>
  <cols>
    <col min="1" max="1" width="12.5546875" bestFit="1" customWidth="1"/>
    <col min="3" max="3" width="15.33203125" bestFit="1" customWidth="1"/>
    <col min="4" max="4" width="16.44140625" bestFit="1" customWidth="1"/>
    <col min="5" max="5" width="12.33203125" bestFit="1" customWidth="1"/>
    <col min="6" max="10" width="14.33203125" bestFit="1" customWidth="1"/>
    <col min="11" max="11" width="10.77734375" bestFit="1" customWidth="1"/>
  </cols>
  <sheetData>
    <row r="7" spans="3:11" x14ac:dyDescent="0.3">
      <c r="C7" s="8" t="s">
        <v>6217</v>
      </c>
      <c r="F7" s="8" t="s">
        <v>6196</v>
      </c>
    </row>
    <row r="8" spans="3:11" x14ac:dyDescent="0.3">
      <c r="C8" s="10" t="s">
        <v>6222</v>
      </c>
      <c r="D8" s="10" t="s">
        <v>6223</v>
      </c>
      <c r="E8" s="10" t="s">
        <v>1</v>
      </c>
      <c r="F8" s="11" t="s">
        <v>6218</v>
      </c>
      <c r="G8" s="11" t="s">
        <v>6219</v>
      </c>
      <c r="H8" s="11" t="s">
        <v>6220</v>
      </c>
      <c r="I8" s="11" t="s">
        <v>6221</v>
      </c>
      <c r="J8" s="11" t="s">
        <v>6198</v>
      </c>
      <c r="K8" s="11" t="s">
        <v>6199</v>
      </c>
    </row>
    <row r="9" spans="3:11" x14ac:dyDescent="0.3">
      <c r="C9" s="11" t="s">
        <v>6200</v>
      </c>
      <c r="D9" t="s">
        <v>6200</v>
      </c>
      <c r="F9" s="9"/>
      <c r="G9" s="9"/>
      <c r="H9" s="9"/>
      <c r="I9" s="9"/>
      <c r="J9" s="9"/>
      <c r="K9" s="9"/>
    </row>
    <row r="10" spans="3:11" x14ac:dyDescent="0.3">
      <c r="C10" s="11" t="s">
        <v>6201</v>
      </c>
      <c r="D10" t="s">
        <v>6205</v>
      </c>
      <c r="F10" s="9">
        <v>186.85499999999999</v>
      </c>
      <c r="G10" s="9">
        <v>305.97000000000003</v>
      </c>
      <c r="H10" s="9">
        <v>213.15999999999997</v>
      </c>
      <c r="I10" s="9">
        <v>123</v>
      </c>
      <c r="J10" s="9"/>
      <c r="K10" s="9">
        <v>828.98500000000001</v>
      </c>
    </row>
    <row r="11" spans="3:11" x14ac:dyDescent="0.3">
      <c r="C11" s="11"/>
      <c r="D11" t="s">
        <v>6206</v>
      </c>
      <c r="F11" s="9">
        <v>251.96499999999997</v>
      </c>
      <c r="G11" s="9">
        <v>129.46</v>
      </c>
      <c r="H11" s="9">
        <v>434.03999999999996</v>
      </c>
      <c r="I11" s="9">
        <v>171.93999999999997</v>
      </c>
      <c r="J11" s="9"/>
      <c r="K11" s="9">
        <v>987.40499999999986</v>
      </c>
    </row>
    <row r="12" spans="3:11" x14ac:dyDescent="0.3">
      <c r="C12" s="11"/>
      <c r="D12" t="s">
        <v>6207</v>
      </c>
      <c r="F12" s="9">
        <v>224.94499999999999</v>
      </c>
      <c r="G12" s="9">
        <v>349.12</v>
      </c>
      <c r="H12" s="9">
        <v>321.04000000000002</v>
      </c>
      <c r="I12" s="9">
        <v>126.035</v>
      </c>
      <c r="J12" s="9"/>
      <c r="K12" s="9">
        <v>1021.14</v>
      </c>
    </row>
    <row r="13" spans="3:11" x14ac:dyDescent="0.3">
      <c r="C13" s="11"/>
      <c r="D13" t="s">
        <v>6208</v>
      </c>
      <c r="F13" s="9">
        <v>307.12</v>
      </c>
      <c r="G13" s="9">
        <v>681.07499999999993</v>
      </c>
      <c r="H13" s="9">
        <v>533.70499999999993</v>
      </c>
      <c r="I13" s="9">
        <v>158.85</v>
      </c>
      <c r="J13" s="9"/>
      <c r="K13" s="9">
        <v>1680.7499999999998</v>
      </c>
    </row>
    <row r="14" spans="3:11" x14ac:dyDescent="0.3">
      <c r="C14" s="11"/>
      <c r="D14" t="s">
        <v>6209</v>
      </c>
      <c r="F14" s="9">
        <v>53.664999999999992</v>
      </c>
      <c r="G14" s="9">
        <v>83.025000000000006</v>
      </c>
      <c r="H14" s="9">
        <v>193.83499999999998</v>
      </c>
      <c r="I14" s="9">
        <v>68.039999999999992</v>
      </c>
      <c r="J14" s="9"/>
      <c r="K14" s="9">
        <v>398.56499999999994</v>
      </c>
    </row>
    <row r="15" spans="3:11" x14ac:dyDescent="0.3">
      <c r="C15" s="11"/>
      <c r="D15" t="s">
        <v>6210</v>
      </c>
      <c r="F15" s="9">
        <v>163.01999999999998</v>
      </c>
      <c r="G15" s="9">
        <v>678.3599999999999</v>
      </c>
      <c r="H15" s="9">
        <v>171.04500000000002</v>
      </c>
      <c r="I15" s="9">
        <v>372.255</v>
      </c>
      <c r="J15" s="9"/>
      <c r="K15" s="9">
        <v>1384.6799999999998</v>
      </c>
    </row>
    <row r="16" spans="3:11" x14ac:dyDescent="0.3">
      <c r="C16" s="11"/>
      <c r="D16" t="s">
        <v>6211</v>
      </c>
      <c r="F16" s="9">
        <v>345.02</v>
      </c>
      <c r="G16" s="9">
        <v>273.86999999999995</v>
      </c>
      <c r="H16" s="9">
        <v>184.12999999999997</v>
      </c>
      <c r="I16" s="9">
        <v>201.11499999999998</v>
      </c>
      <c r="J16" s="9"/>
      <c r="K16" s="9">
        <v>1004.1349999999999</v>
      </c>
    </row>
    <row r="17" spans="3:11" x14ac:dyDescent="0.3">
      <c r="C17" s="11"/>
      <c r="D17" t="s">
        <v>6212</v>
      </c>
      <c r="F17" s="9">
        <v>334.89</v>
      </c>
      <c r="G17" s="9">
        <v>70.95</v>
      </c>
      <c r="H17" s="9">
        <v>134.23000000000002</v>
      </c>
      <c r="I17" s="9">
        <v>166.27499999999998</v>
      </c>
      <c r="J17" s="9"/>
      <c r="K17" s="9">
        <v>706.34499999999991</v>
      </c>
    </row>
    <row r="18" spans="3:11" x14ac:dyDescent="0.3">
      <c r="C18" s="11"/>
      <c r="D18" t="s">
        <v>6213</v>
      </c>
      <c r="F18" s="9">
        <v>178.70999999999998</v>
      </c>
      <c r="G18" s="9">
        <v>166.1</v>
      </c>
      <c r="H18" s="9">
        <v>439.30999999999995</v>
      </c>
      <c r="I18" s="9">
        <v>492.9</v>
      </c>
      <c r="J18" s="9"/>
      <c r="K18" s="9">
        <v>1277.02</v>
      </c>
    </row>
    <row r="19" spans="3:11" x14ac:dyDescent="0.3">
      <c r="C19" s="11"/>
      <c r="D19" t="s">
        <v>6214</v>
      </c>
      <c r="F19" s="9">
        <v>301.98500000000001</v>
      </c>
      <c r="G19" s="9">
        <v>153.76499999999999</v>
      </c>
      <c r="H19" s="9">
        <v>215.55499999999998</v>
      </c>
      <c r="I19" s="9">
        <v>213.66499999999999</v>
      </c>
      <c r="J19" s="9"/>
      <c r="K19" s="9">
        <v>884.96999999999991</v>
      </c>
    </row>
    <row r="20" spans="3:11" x14ac:dyDescent="0.3">
      <c r="C20" s="11"/>
      <c r="D20" t="s">
        <v>6215</v>
      </c>
      <c r="F20" s="9">
        <v>312.83499999999998</v>
      </c>
      <c r="G20" s="9">
        <v>63.249999999999993</v>
      </c>
      <c r="H20" s="9">
        <v>350.89500000000004</v>
      </c>
      <c r="I20" s="9">
        <v>96.405000000000001</v>
      </c>
      <c r="J20" s="9"/>
      <c r="K20" s="9">
        <v>823.38499999999999</v>
      </c>
    </row>
    <row r="21" spans="3:11" x14ac:dyDescent="0.3">
      <c r="C21" s="11"/>
      <c r="D21" t="s">
        <v>6216</v>
      </c>
      <c r="F21" s="9">
        <v>265.62</v>
      </c>
      <c r="G21" s="9">
        <v>526.51499999999987</v>
      </c>
      <c r="H21" s="9">
        <v>187.06</v>
      </c>
      <c r="I21" s="9">
        <v>210.58999999999997</v>
      </c>
      <c r="J21" s="9"/>
      <c r="K21" s="9">
        <v>1189.7849999999999</v>
      </c>
    </row>
    <row r="22" spans="3:11" x14ac:dyDescent="0.3">
      <c r="C22" s="11" t="s">
        <v>6202</v>
      </c>
      <c r="D22" t="s">
        <v>6205</v>
      </c>
      <c r="F22" s="9">
        <v>47.25</v>
      </c>
      <c r="G22" s="9">
        <v>65.805000000000007</v>
      </c>
      <c r="H22" s="9">
        <v>274.67500000000001</v>
      </c>
      <c r="I22" s="9">
        <v>179.22</v>
      </c>
      <c r="J22" s="9"/>
      <c r="K22" s="9">
        <v>566.95000000000005</v>
      </c>
    </row>
    <row r="23" spans="3:11" x14ac:dyDescent="0.3">
      <c r="C23" s="11"/>
      <c r="D23" t="s">
        <v>6206</v>
      </c>
      <c r="F23" s="9">
        <v>745.44999999999993</v>
      </c>
      <c r="G23" s="9">
        <v>428.88499999999999</v>
      </c>
      <c r="H23" s="9">
        <v>194.17499999999998</v>
      </c>
      <c r="I23" s="9">
        <v>429.82999999999993</v>
      </c>
      <c r="J23" s="9"/>
      <c r="K23" s="9">
        <v>1798.34</v>
      </c>
    </row>
    <row r="24" spans="3:11" x14ac:dyDescent="0.3">
      <c r="C24" s="11"/>
      <c r="D24" t="s">
        <v>6207</v>
      </c>
      <c r="F24" s="9">
        <v>130.47</v>
      </c>
      <c r="G24" s="9">
        <v>271.48500000000001</v>
      </c>
      <c r="H24" s="9">
        <v>281.20499999999998</v>
      </c>
      <c r="I24" s="9">
        <v>231.63000000000002</v>
      </c>
      <c r="J24" s="9"/>
      <c r="K24" s="9">
        <v>914.79000000000008</v>
      </c>
    </row>
    <row r="25" spans="3:11" x14ac:dyDescent="0.3">
      <c r="C25" s="11"/>
      <c r="D25" t="s">
        <v>6208</v>
      </c>
      <c r="F25" s="9">
        <v>27</v>
      </c>
      <c r="G25" s="9">
        <v>347.26</v>
      </c>
      <c r="H25" s="9">
        <v>147.51</v>
      </c>
      <c r="I25" s="9">
        <v>240.04</v>
      </c>
      <c r="J25" s="9"/>
      <c r="K25" s="9">
        <v>761.81</v>
      </c>
    </row>
    <row r="26" spans="3:11" x14ac:dyDescent="0.3">
      <c r="C26" s="11"/>
      <c r="D26" t="s">
        <v>6209</v>
      </c>
      <c r="F26" s="9">
        <v>255.11499999999995</v>
      </c>
      <c r="G26" s="9">
        <v>541.73</v>
      </c>
      <c r="H26" s="9">
        <v>83.43</v>
      </c>
      <c r="I26" s="9">
        <v>59.079999999999991</v>
      </c>
      <c r="J26" s="9"/>
      <c r="K26" s="9">
        <v>939.35500000000013</v>
      </c>
    </row>
    <row r="27" spans="3:11" x14ac:dyDescent="0.3">
      <c r="C27" s="11"/>
      <c r="D27" t="s">
        <v>6210</v>
      </c>
      <c r="F27" s="9">
        <v>584.78999999999985</v>
      </c>
      <c r="G27" s="9">
        <v>357.42999999999995</v>
      </c>
      <c r="H27" s="9">
        <v>355.34</v>
      </c>
      <c r="I27" s="9">
        <v>140.88</v>
      </c>
      <c r="J27" s="9"/>
      <c r="K27" s="9">
        <v>1438.4399999999996</v>
      </c>
    </row>
    <row r="28" spans="3:11" x14ac:dyDescent="0.3">
      <c r="C28" s="11"/>
      <c r="D28" t="s">
        <v>6211</v>
      </c>
      <c r="F28" s="9">
        <v>430.62</v>
      </c>
      <c r="G28" s="9">
        <v>227.42500000000001</v>
      </c>
      <c r="H28" s="9">
        <v>236.315</v>
      </c>
      <c r="I28" s="9">
        <v>414.58499999999992</v>
      </c>
      <c r="J28" s="9"/>
      <c r="K28" s="9">
        <v>1308.9450000000002</v>
      </c>
    </row>
    <row r="29" spans="3:11" x14ac:dyDescent="0.3">
      <c r="C29" s="11"/>
      <c r="D29" t="s">
        <v>6212</v>
      </c>
      <c r="F29" s="9">
        <v>22.5</v>
      </c>
      <c r="G29" s="9">
        <v>77.72</v>
      </c>
      <c r="H29" s="9">
        <v>60.5</v>
      </c>
      <c r="I29" s="9">
        <v>139.67999999999998</v>
      </c>
      <c r="J29" s="9"/>
      <c r="K29" s="9">
        <v>300.39999999999998</v>
      </c>
    </row>
    <row r="30" spans="3:11" x14ac:dyDescent="0.3">
      <c r="C30" s="11"/>
      <c r="D30" t="s">
        <v>6213</v>
      </c>
      <c r="F30" s="9">
        <v>126.14999999999999</v>
      </c>
      <c r="G30" s="9">
        <v>195.11</v>
      </c>
      <c r="H30" s="9">
        <v>89.13</v>
      </c>
      <c r="I30" s="9">
        <v>302.65999999999997</v>
      </c>
      <c r="J30" s="9"/>
      <c r="K30" s="9">
        <v>713.05</v>
      </c>
    </row>
    <row r="31" spans="3:11" x14ac:dyDescent="0.3">
      <c r="C31" s="11"/>
      <c r="D31" t="s">
        <v>6214</v>
      </c>
      <c r="F31" s="9">
        <v>376.03</v>
      </c>
      <c r="G31" s="9">
        <v>523.24</v>
      </c>
      <c r="H31" s="9">
        <v>440.96499999999997</v>
      </c>
      <c r="I31" s="9">
        <v>174.46999999999997</v>
      </c>
      <c r="J31" s="9"/>
      <c r="K31" s="9">
        <v>1514.7049999999999</v>
      </c>
    </row>
    <row r="32" spans="3:11" x14ac:dyDescent="0.3">
      <c r="C32" s="11"/>
      <c r="D32" t="s">
        <v>6215</v>
      </c>
      <c r="F32" s="9">
        <v>515.17999999999995</v>
      </c>
      <c r="G32" s="9">
        <v>142.56</v>
      </c>
      <c r="H32" s="9">
        <v>347.03999999999996</v>
      </c>
      <c r="I32" s="9">
        <v>104.08499999999999</v>
      </c>
      <c r="J32" s="9"/>
      <c r="K32" s="9">
        <v>1108.865</v>
      </c>
    </row>
    <row r="33" spans="3:11" x14ac:dyDescent="0.3">
      <c r="C33" s="11"/>
      <c r="D33" t="s">
        <v>6216</v>
      </c>
      <c r="F33" s="9">
        <v>95.859999999999985</v>
      </c>
      <c r="G33" s="9">
        <v>484.76</v>
      </c>
      <c r="H33" s="9">
        <v>94.17</v>
      </c>
      <c r="I33" s="9">
        <v>77.10499999999999</v>
      </c>
      <c r="J33" s="9"/>
      <c r="K33" s="9">
        <v>751.89499999999998</v>
      </c>
    </row>
    <row r="34" spans="3:11" x14ac:dyDescent="0.3">
      <c r="C34" s="11" t="s">
        <v>6203</v>
      </c>
      <c r="D34" t="s">
        <v>6205</v>
      </c>
      <c r="F34" s="9">
        <v>258.34500000000003</v>
      </c>
      <c r="G34" s="9">
        <v>139.625</v>
      </c>
      <c r="H34" s="9">
        <v>279.52000000000004</v>
      </c>
      <c r="I34" s="9">
        <v>160.19499999999999</v>
      </c>
      <c r="J34" s="9"/>
      <c r="K34" s="9">
        <v>837.68499999999995</v>
      </c>
    </row>
    <row r="35" spans="3:11" x14ac:dyDescent="0.3">
      <c r="C35" s="11"/>
      <c r="D35" t="s">
        <v>6206</v>
      </c>
      <c r="F35" s="9">
        <v>342.2</v>
      </c>
      <c r="G35" s="9">
        <v>284.24999999999994</v>
      </c>
      <c r="H35" s="9">
        <v>251.83</v>
      </c>
      <c r="I35" s="9">
        <v>80.550000000000011</v>
      </c>
      <c r="J35" s="9"/>
      <c r="K35" s="9">
        <v>958.82999999999993</v>
      </c>
    </row>
    <row r="36" spans="3:11" x14ac:dyDescent="0.3">
      <c r="C36" s="11"/>
      <c r="D36" t="s">
        <v>6207</v>
      </c>
      <c r="F36" s="9">
        <v>418.30499999999989</v>
      </c>
      <c r="G36" s="9">
        <v>468.125</v>
      </c>
      <c r="H36" s="9">
        <v>405.05500000000006</v>
      </c>
      <c r="I36" s="9">
        <v>253.15499999999997</v>
      </c>
      <c r="J36" s="9"/>
      <c r="K36" s="9">
        <v>1544.6399999999999</v>
      </c>
    </row>
    <row r="37" spans="3:11" x14ac:dyDescent="0.3">
      <c r="C37" s="11"/>
      <c r="D37" t="s">
        <v>6208</v>
      </c>
      <c r="F37" s="9">
        <v>102.32999999999998</v>
      </c>
      <c r="G37" s="9">
        <v>242.14000000000001</v>
      </c>
      <c r="H37" s="9">
        <v>554.875</v>
      </c>
      <c r="I37" s="9">
        <v>106.23999999999998</v>
      </c>
      <c r="J37" s="9"/>
      <c r="K37" s="9">
        <v>1005.585</v>
      </c>
    </row>
    <row r="38" spans="3:11" x14ac:dyDescent="0.3">
      <c r="C38" s="11"/>
      <c r="D38" t="s">
        <v>6209</v>
      </c>
      <c r="F38" s="9">
        <v>234.71999999999997</v>
      </c>
      <c r="G38" s="9">
        <v>133.08000000000001</v>
      </c>
      <c r="H38" s="9">
        <v>267.2</v>
      </c>
      <c r="I38" s="9">
        <v>272.68999999999994</v>
      </c>
      <c r="J38" s="9"/>
      <c r="K38" s="9">
        <v>907.68999999999994</v>
      </c>
    </row>
    <row r="39" spans="3:11" x14ac:dyDescent="0.3">
      <c r="C39" s="11"/>
      <c r="D39" t="s">
        <v>6210</v>
      </c>
      <c r="F39" s="9">
        <v>430.39</v>
      </c>
      <c r="G39" s="9">
        <v>136.20500000000001</v>
      </c>
      <c r="H39" s="9">
        <v>209.6</v>
      </c>
      <c r="I39" s="9">
        <v>88.334999999999994</v>
      </c>
      <c r="J39" s="9"/>
      <c r="K39" s="9">
        <v>864.53000000000009</v>
      </c>
    </row>
    <row r="40" spans="3:11" x14ac:dyDescent="0.3">
      <c r="C40" s="11"/>
      <c r="D40" t="s">
        <v>6211</v>
      </c>
      <c r="F40" s="9">
        <v>109.005</v>
      </c>
      <c r="G40" s="9">
        <v>393.57499999999999</v>
      </c>
      <c r="H40" s="9">
        <v>61.034999999999997</v>
      </c>
      <c r="I40" s="9">
        <v>199.48999999999998</v>
      </c>
      <c r="J40" s="9"/>
      <c r="K40" s="9">
        <v>763.10500000000002</v>
      </c>
    </row>
    <row r="41" spans="3:11" x14ac:dyDescent="0.3">
      <c r="C41" s="11"/>
      <c r="D41" t="s">
        <v>6212</v>
      </c>
      <c r="F41" s="9">
        <v>287.52499999999998</v>
      </c>
      <c r="G41" s="9">
        <v>288.67</v>
      </c>
      <c r="H41" s="9">
        <v>125.58</v>
      </c>
      <c r="I41" s="9">
        <v>374.13499999999999</v>
      </c>
      <c r="J41" s="9"/>
      <c r="K41" s="9">
        <v>1075.9099999999999</v>
      </c>
    </row>
    <row r="42" spans="3:11" x14ac:dyDescent="0.3">
      <c r="C42" s="11"/>
      <c r="D42" t="s">
        <v>6213</v>
      </c>
      <c r="F42" s="9">
        <v>840.92999999999984</v>
      </c>
      <c r="G42" s="9">
        <v>409.875</v>
      </c>
      <c r="H42" s="9">
        <v>171.32999999999998</v>
      </c>
      <c r="I42" s="9">
        <v>221.43999999999997</v>
      </c>
      <c r="J42" s="9"/>
      <c r="K42" s="9">
        <v>1643.5749999999998</v>
      </c>
    </row>
    <row r="43" spans="3:11" x14ac:dyDescent="0.3">
      <c r="C43" s="11"/>
      <c r="D43" t="s">
        <v>6214</v>
      </c>
      <c r="F43" s="9">
        <v>299.07</v>
      </c>
      <c r="G43" s="9">
        <v>260.32499999999999</v>
      </c>
      <c r="H43" s="9">
        <v>584.64</v>
      </c>
      <c r="I43" s="9">
        <v>256.36500000000001</v>
      </c>
      <c r="J43" s="9"/>
      <c r="K43" s="9">
        <v>1400.3999999999999</v>
      </c>
    </row>
    <row r="44" spans="3:11" x14ac:dyDescent="0.3">
      <c r="C44" s="11"/>
      <c r="D44" t="s">
        <v>6215</v>
      </c>
      <c r="F44" s="9">
        <v>323.32499999999999</v>
      </c>
      <c r="G44" s="9">
        <v>565.57000000000005</v>
      </c>
      <c r="H44" s="9">
        <v>537.80999999999995</v>
      </c>
      <c r="I44" s="9">
        <v>189.47499999999999</v>
      </c>
      <c r="J44" s="9"/>
      <c r="K44" s="9">
        <v>1616.1799999999998</v>
      </c>
    </row>
    <row r="45" spans="3:11" x14ac:dyDescent="0.3">
      <c r="C45" s="11"/>
      <c r="D45" t="s">
        <v>6216</v>
      </c>
      <c r="F45" s="9">
        <v>399.48499999999996</v>
      </c>
      <c r="G45" s="9">
        <v>148.19999999999999</v>
      </c>
      <c r="H45" s="9">
        <v>388.21999999999997</v>
      </c>
      <c r="I45" s="9">
        <v>212.07499999999999</v>
      </c>
      <c r="J45" s="9"/>
      <c r="K45" s="9">
        <v>1147.98</v>
      </c>
    </row>
    <row r="46" spans="3:11" x14ac:dyDescent="0.3">
      <c r="C46" s="11" t="s">
        <v>6204</v>
      </c>
      <c r="D46" t="s">
        <v>6205</v>
      </c>
      <c r="F46" s="9">
        <v>112.69499999999999</v>
      </c>
      <c r="G46" s="9">
        <v>166.32</v>
      </c>
      <c r="H46" s="9">
        <v>843.71499999999992</v>
      </c>
      <c r="I46" s="9">
        <v>146.685</v>
      </c>
      <c r="J46" s="9"/>
      <c r="K46" s="9">
        <v>1269.415</v>
      </c>
    </row>
    <row r="47" spans="3:11" x14ac:dyDescent="0.3">
      <c r="C47" s="11"/>
      <c r="D47" t="s">
        <v>6206</v>
      </c>
      <c r="F47" s="9">
        <v>114.87999999999998</v>
      </c>
      <c r="G47" s="9">
        <v>133.815</v>
      </c>
      <c r="H47" s="9">
        <v>91.175000000000011</v>
      </c>
      <c r="I47" s="9">
        <v>53.759999999999991</v>
      </c>
      <c r="J47" s="9"/>
      <c r="K47" s="9">
        <v>393.63</v>
      </c>
    </row>
    <row r="48" spans="3:11" x14ac:dyDescent="0.3">
      <c r="C48" s="11"/>
      <c r="D48" t="s">
        <v>6207</v>
      </c>
      <c r="F48" s="9">
        <v>277.76</v>
      </c>
      <c r="G48" s="9">
        <v>175.41</v>
      </c>
      <c r="H48" s="9">
        <v>462.50999999999993</v>
      </c>
      <c r="I48" s="9">
        <v>399.52499999999998</v>
      </c>
      <c r="J48" s="9"/>
      <c r="K48" s="9">
        <v>1315.2049999999999</v>
      </c>
    </row>
    <row r="49" spans="3:11" x14ac:dyDescent="0.3">
      <c r="C49" s="11"/>
      <c r="D49" t="s">
        <v>6208</v>
      </c>
      <c r="F49" s="9">
        <v>197.89499999999998</v>
      </c>
      <c r="G49" s="9">
        <v>289.755</v>
      </c>
      <c r="H49" s="9">
        <v>88.545000000000002</v>
      </c>
      <c r="I49" s="9">
        <v>200.25499999999997</v>
      </c>
      <c r="J49" s="9"/>
      <c r="K49" s="9">
        <v>776.44999999999993</v>
      </c>
    </row>
    <row r="50" spans="3:11" x14ac:dyDescent="0.3">
      <c r="C50" s="11"/>
      <c r="D50" t="s">
        <v>6209</v>
      </c>
      <c r="F50" s="9">
        <v>193.11499999999998</v>
      </c>
      <c r="G50" s="9">
        <v>212.49499999999998</v>
      </c>
      <c r="H50" s="9">
        <v>292.29000000000002</v>
      </c>
      <c r="I50" s="9">
        <v>304.46999999999997</v>
      </c>
      <c r="J50" s="9"/>
      <c r="K50" s="9">
        <v>1002.3699999999999</v>
      </c>
    </row>
    <row r="51" spans="3:11" x14ac:dyDescent="0.3">
      <c r="C51" s="11"/>
      <c r="D51" t="s">
        <v>6210</v>
      </c>
      <c r="F51" s="9">
        <v>179.79</v>
      </c>
      <c r="G51" s="9">
        <v>426.2</v>
      </c>
      <c r="H51" s="9">
        <v>170.08999999999997</v>
      </c>
      <c r="I51" s="9">
        <v>379.31</v>
      </c>
      <c r="J51" s="9"/>
      <c r="K51" s="9">
        <v>1155.3899999999999</v>
      </c>
    </row>
    <row r="52" spans="3:11" x14ac:dyDescent="0.3">
      <c r="C52" s="11"/>
      <c r="D52" t="s">
        <v>6211</v>
      </c>
      <c r="F52" s="9">
        <v>247.28999999999996</v>
      </c>
      <c r="G52" s="9">
        <v>246.685</v>
      </c>
      <c r="H52" s="9">
        <v>271.05499999999995</v>
      </c>
      <c r="I52" s="9">
        <v>141.69999999999999</v>
      </c>
      <c r="J52" s="9"/>
      <c r="K52" s="9">
        <v>906.73</v>
      </c>
    </row>
    <row r="53" spans="3:11" x14ac:dyDescent="0.3">
      <c r="C53" s="11"/>
      <c r="D53" t="s">
        <v>6212</v>
      </c>
      <c r="F53" s="9">
        <v>116.39499999999998</v>
      </c>
      <c r="G53" s="9">
        <v>41.25</v>
      </c>
      <c r="H53" s="9">
        <v>15.54</v>
      </c>
      <c r="I53" s="9">
        <v>71.06</v>
      </c>
      <c r="J53" s="9"/>
      <c r="K53" s="9">
        <v>244.24499999999998</v>
      </c>
    </row>
    <row r="54" spans="3:11" x14ac:dyDescent="0.3">
      <c r="C54" s="11" t="s">
        <v>6199</v>
      </c>
      <c r="D54" s="11"/>
      <c r="E54" s="11"/>
      <c r="F54" s="9">
        <v>11768.495000000003</v>
      </c>
      <c r="G54" s="9">
        <v>12306.440000000002</v>
      </c>
      <c r="H54" s="9">
        <v>12054.075000000003</v>
      </c>
      <c r="I54" s="9">
        <v>9005.244999999999</v>
      </c>
      <c r="J54" s="9"/>
      <c r="K54" s="9">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1604-3B7A-44A9-AADD-8DD5DC3BFF96}">
  <dimension ref="C7:D12"/>
  <sheetViews>
    <sheetView topLeftCell="C4" zoomScale="130" zoomScaleNormal="130" workbookViewId="0">
      <selection activeCell="C8" sqref="C8"/>
    </sheetView>
  </sheetViews>
  <sheetFormatPr defaultRowHeight="14.4" x14ac:dyDescent="0.3"/>
  <cols>
    <col min="1" max="1" width="12.5546875" bestFit="1" customWidth="1"/>
    <col min="3" max="3" width="14.44140625" bestFit="1" customWidth="1"/>
    <col min="4" max="4" width="11.6640625" bestFit="1" customWidth="1"/>
    <col min="5" max="8" width="14.33203125" bestFit="1" customWidth="1"/>
    <col min="9" max="11" width="10.77734375" bestFit="1" customWidth="1"/>
  </cols>
  <sheetData>
    <row r="7" spans="3:4" x14ac:dyDescent="0.3">
      <c r="C7" s="8" t="s">
        <v>7</v>
      </c>
      <c r="D7" s="11" t="s">
        <v>6217</v>
      </c>
    </row>
    <row r="8" spans="3:4" x14ac:dyDescent="0.3">
      <c r="C8" t="s">
        <v>6198</v>
      </c>
      <c r="D8" s="12"/>
    </row>
    <row r="9" spans="3:4" x14ac:dyDescent="0.3">
      <c r="C9" t="s">
        <v>28</v>
      </c>
      <c r="D9" s="12">
        <v>2798.5050000000001</v>
      </c>
    </row>
    <row r="10" spans="3:4" x14ac:dyDescent="0.3">
      <c r="C10" t="s">
        <v>318</v>
      </c>
      <c r="D10" s="12">
        <v>6696.8649999999989</v>
      </c>
    </row>
    <row r="11" spans="3:4" x14ac:dyDescent="0.3">
      <c r="C11" t="s">
        <v>19</v>
      </c>
      <c r="D11" s="12">
        <v>35638.88499999998</v>
      </c>
    </row>
    <row r="12" spans="3:4" x14ac:dyDescent="0.3">
      <c r="C12" s="11" t="s">
        <v>6199</v>
      </c>
      <c r="D12" s="12">
        <v>45134.254999999976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DA4FD-444D-4897-B63D-85E86EF9E186}">
  <dimension ref="C7:D13"/>
  <sheetViews>
    <sheetView topLeftCell="A6" zoomScale="115" zoomScaleNormal="115" workbookViewId="0">
      <selection activeCell="C22" sqref="C22"/>
    </sheetView>
  </sheetViews>
  <sheetFormatPr defaultRowHeight="14.4" x14ac:dyDescent="0.3"/>
  <cols>
    <col min="1" max="1" width="12.5546875" bestFit="1" customWidth="1"/>
    <col min="3" max="3" width="16.88671875" bestFit="1" customWidth="1"/>
    <col min="4" max="4" width="11.6640625" bestFit="1" customWidth="1"/>
    <col min="5" max="8" width="14.33203125" bestFit="1" customWidth="1"/>
    <col min="9" max="11" width="10.77734375" bestFit="1" customWidth="1"/>
  </cols>
  <sheetData>
    <row r="7" spans="3:4" x14ac:dyDescent="0.3">
      <c r="C7" s="8" t="s">
        <v>4</v>
      </c>
      <c r="D7" s="11" t="s">
        <v>6217</v>
      </c>
    </row>
    <row r="8" spans="3:4" x14ac:dyDescent="0.3">
      <c r="C8" t="s">
        <v>3753</v>
      </c>
      <c r="D8" s="12">
        <v>278.01</v>
      </c>
    </row>
    <row r="9" spans="3:4" x14ac:dyDescent="0.3">
      <c r="C9" t="s">
        <v>1598</v>
      </c>
      <c r="D9" s="12">
        <v>281.67499999999995</v>
      </c>
    </row>
    <row r="10" spans="3:4" x14ac:dyDescent="0.3">
      <c r="C10" t="s">
        <v>2587</v>
      </c>
      <c r="D10" s="12">
        <v>289.11</v>
      </c>
    </row>
    <row r="11" spans="3:4" x14ac:dyDescent="0.3">
      <c r="C11" t="s">
        <v>5765</v>
      </c>
      <c r="D11" s="12">
        <v>307.04499999999996</v>
      </c>
    </row>
    <row r="12" spans="3:4" x14ac:dyDescent="0.3">
      <c r="C12" t="s">
        <v>5114</v>
      </c>
      <c r="D12" s="12">
        <v>317.06999999999994</v>
      </c>
    </row>
    <row r="13" spans="3:4" x14ac:dyDescent="0.3">
      <c r="C13" s="11" t="s">
        <v>6199</v>
      </c>
      <c r="D13" s="12">
        <v>1472.9099999999999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7ADC8-ADF8-4E7C-99C2-F28B5291DA1B}">
  <dimension ref="A1"/>
  <sheetViews>
    <sheetView tabSelected="1" zoomScale="70" zoomScaleNormal="70" workbookViewId="0">
      <selection activeCell="AB40" sqref="AB40"/>
    </sheetView>
  </sheetViews>
  <sheetFormatPr defaultRowHeight="14.4" x14ac:dyDescent="0.3"/>
  <cols>
    <col min="1" max="1" width="1.77734375" customWidth="1"/>
  </cols>
  <sheetData>
    <row r="1" ht="10.05000000000000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Pivot Tables</vt:lpstr>
      <vt:lpstr>Country Bar chart</vt:lpstr>
      <vt:lpstr>Top 5 customer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Pranit K</cp:lastModifiedBy>
  <cp:revision/>
  <dcterms:created xsi:type="dcterms:W3CDTF">2022-11-26T09:51:45Z</dcterms:created>
  <dcterms:modified xsi:type="dcterms:W3CDTF">2026-04-27T05:34:17Z</dcterms:modified>
  <cp:category/>
  <cp:contentStatus/>
</cp:coreProperties>
</file>